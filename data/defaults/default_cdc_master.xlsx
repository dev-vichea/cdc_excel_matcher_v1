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filterPrivacy="1"/>
  <xr:revisionPtr revIDLastSave="0" documentId="13_ncr:1_{5BD4EAF4-2811-443F-BD69-1502D7FAC02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Print_Area" localSheetId="0">Sheet1!$A$1:$R$238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R217" i="1" l="1"/>
  <c r="Q217" i="1"/>
  <c r="P217" i="1"/>
  <c r="N217" i="1"/>
  <c r="L217" i="1"/>
  <c r="J217" i="1"/>
  <c r="H217" i="1"/>
  <c r="R216" i="1"/>
  <c r="Q216" i="1"/>
  <c r="P216" i="1"/>
  <c r="N216" i="1"/>
  <c r="L216" i="1"/>
  <c r="J216" i="1"/>
  <c r="H216" i="1"/>
  <c r="Q215" i="1"/>
  <c r="R215" i="1" s="1"/>
  <c r="P215" i="1"/>
  <c r="N215" i="1"/>
  <c r="L215" i="1"/>
  <c r="J215" i="1"/>
  <c r="H215" i="1"/>
  <c r="R214" i="1"/>
  <c r="Q214" i="1"/>
  <c r="P214" i="1"/>
  <c r="N214" i="1"/>
  <c r="L214" i="1"/>
  <c r="J214" i="1"/>
  <c r="H214" i="1"/>
  <c r="Q213" i="1"/>
  <c r="R213" i="1" s="1"/>
  <c r="P213" i="1"/>
  <c r="N213" i="1"/>
  <c r="L213" i="1"/>
  <c r="J213" i="1"/>
  <c r="H213" i="1"/>
  <c r="R212" i="1"/>
  <c r="Q212" i="1"/>
  <c r="P212" i="1"/>
  <c r="N212" i="1"/>
  <c r="L212" i="1"/>
  <c r="J212" i="1"/>
  <c r="H212" i="1"/>
  <c r="Q211" i="1"/>
  <c r="R211" i="1" s="1"/>
  <c r="P211" i="1"/>
  <c r="N211" i="1"/>
  <c r="L211" i="1"/>
  <c r="J211" i="1"/>
  <c r="H211" i="1"/>
  <c r="R210" i="1"/>
  <c r="Q210" i="1"/>
  <c r="P210" i="1"/>
  <c r="N210" i="1"/>
  <c r="L210" i="1"/>
  <c r="J210" i="1"/>
  <c r="H210" i="1"/>
  <c r="R209" i="1"/>
  <c r="Q209" i="1"/>
  <c r="P209" i="1"/>
  <c r="N209" i="1"/>
  <c r="L209" i="1"/>
  <c r="J209" i="1"/>
  <c r="H209" i="1"/>
  <c r="R208" i="1"/>
  <c r="Q208" i="1"/>
  <c r="P208" i="1"/>
  <c r="N208" i="1"/>
  <c r="L208" i="1"/>
  <c r="J208" i="1"/>
  <c r="H208" i="1"/>
  <c r="Q207" i="1"/>
  <c r="R207" i="1" s="1"/>
  <c r="P207" i="1"/>
  <c r="N207" i="1"/>
  <c r="L207" i="1"/>
  <c r="J207" i="1"/>
  <c r="H207" i="1"/>
  <c r="R206" i="1"/>
  <c r="Q206" i="1"/>
  <c r="P206" i="1"/>
  <c r="N206" i="1"/>
  <c r="L206" i="1"/>
  <c r="J206" i="1"/>
  <c r="H206" i="1"/>
  <c r="Q205" i="1"/>
  <c r="R205" i="1" s="1"/>
  <c r="P205" i="1"/>
  <c r="N205" i="1"/>
  <c r="L205" i="1"/>
  <c r="J205" i="1"/>
  <c r="H205" i="1"/>
  <c r="R204" i="1"/>
  <c r="Q204" i="1"/>
  <c r="P204" i="1"/>
  <c r="N204" i="1"/>
  <c r="L204" i="1"/>
  <c r="J204" i="1"/>
  <c r="H204" i="1"/>
  <c r="Q203" i="1"/>
  <c r="R203" i="1" s="1"/>
  <c r="P203" i="1"/>
  <c r="N203" i="1"/>
  <c r="L203" i="1"/>
  <c r="J203" i="1"/>
  <c r="H203" i="1"/>
  <c r="R202" i="1"/>
  <c r="Q202" i="1"/>
  <c r="P202" i="1"/>
  <c r="N202" i="1"/>
  <c r="L202" i="1"/>
  <c r="J202" i="1"/>
  <c r="H202" i="1"/>
  <c r="R201" i="1"/>
  <c r="Q201" i="1"/>
  <c r="P201" i="1"/>
  <c r="N201" i="1"/>
  <c r="L201" i="1"/>
  <c r="J201" i="1"/>
  <c r="H201" i="1"/>
  <c r="R200" i="1"/>
  <c r="Q200" i="1"/>
  <c r="P200" i="1"/>
  <c r="N200" i="1"/>
  <c r="L200" i="1"/>
  <c r="J200" i="1"/>
  <c r="H200" i="1"/>
  <c r="Q199" i="1"/>
  <c r="R199" i="1" s="1"/>
  <c r="P199" i="1"/>
  <c r="N199" i="1"/>
  <c r="L199" i="1"/>
  <c r="J199" i="1"/>
  <c r="H199" i="1"/>
  <c r="R198" i="1"/>
  <c r="Q198" i="1"/>
  <c r="P198" i="1"/>
  <c r="N198" i="1"/>
  <c r="L198" i="1"/>
  <c r="J198" i="1"/>
  <c r="H198" i="1"/>
  <c r="Q197" i="1"/>
  <c r="R197" i="1" s="1"/>
  <c r="P197" i="1"/>
  <c r="N197" i="1"/>
  <c r="L197" i="1"/>
  <c r="J197" i="1"/>
  <c r="H197" i="1"/>
  <c r="R196" i="1"/>
  <c r="Q196" i="1"/>
  <c r="P196" i="1"/>
  <c r="N196" i="1"/>
  <c r="L196" i="1"/>
  <c r="J196" i="1"/>
  <c r="H196" i="1"/>
  <c r="Q195" i="1"/>
  <c r="R195" i="1" s="1"/>
  <c r="P195" i="1"/>
  <c r="N195" i="1"/>
  <c r="L195" i="1"/>
  <c r="J195" i="1"/>
  <c r="H195" i="1"/>
  <c r="R194" i="1"/>
  <c r="Q194" i="1"/>
  <c r="P194" i="1"/>
  <c r="N194" i="1"/>
  <c r="L194" i="1"/>
  <c r="J194" i="1"/>
  <c r="H194" i="1"/>
  <c r="R193" i="1"/>
  <c r="Q193" i="1"/>
  <c r="P193" i="1"/>
  <c r="N193" i="1"/>
  <c r="L193" i="1"/>
  <c r="J193" i="1"/>
  <c r="H193" i="1"/>
  <c r="R192" i="1"/>
  <c r="Q192" i="1"/>
  <c r="P192" i="1"/>
  <c r="N192" i="1"/>
  <c r="L192" i="1"/>
  <c r="J192" i="1"/>
  <c r="H192" i="1"/>
  <c r="Q191" i="1"/>
  <c r="R191" i="1" s="1"/>
  <c r="P191" i="1"/>
  <c r="N191" i="1"/>
  <c r="L191" i="1"/>
  <c r="J191" i="1"/>
  <c r="H191" i="1"/>
  <c r="R190" i="1"/>
  <c r="Q190" i="1"/>
  <c r="P190" i="1"/>
  <c r="N190" i="1"/>
  <c r="L190" i="1"/>
  <c r="J190" i="1"/>
  <c r="H190" i="1"/>
  <c r="Q189" i="1"/>
  <c r="R189" i="1" s="1"/>
  <c r="P189" i="1"/>
  <c r="N189" i="1"/>
  <c r="L189" i="1"/>
  <c r="J189" i="1"/>
  <c r="H189" i="1"/>
  <c r="R188" i="1"/>
  <c r="Q188" i="1"/>
  <c r="P188" i="1"/>
  <c r="N188" i="1"/>
  <c r="L188" i="1"/>
  <c r="J188" i="1"/>
  <c r="H188" i="1"/>
  <c r="Q187" i="1"/>
  <c r="R187" i="1" s="1"/>
  <c r="P187" i="1"/>
  <c r="N187" i="1"/>
  <c r="L187" i="1"/>
  <c r="J187" i="1"/>
  <c r="H187" i="1"/>
  <c r="R186" i="1"/>
  <c r="Q186" i="1"/>
  <c r="P186" i="1"/>
  <c r="N186" i="1"/>
  <c r="L186" i="1"/>
  <c r="J186" i="1"/>
  <c r="H186" i="1"/>
  <c r="R185" i="1"/>
  <c r="Q185" i="1"/>
  <c r="P185" i="1"/>
  <c r="N185" i="1"/>
  <c r="L185" i="1"/>
  <c r="J185" i="1"/>
  <c r="H185" i="1"/>
  <c r="R184" i="1"/>
  <c r="Q184" i="1"/>
  <c r="P184" i="1"/>
  <c r="N184" i="1"/>
  <c r="L184" i="1"/>
  <c r="J184" i="1"/>
  <c r="H184" i="1"/>
  <c r="Q183" i="1"/>
  <c r="R183" i="1" s="1"/>
  <c r="P183" i="1"/>
  <c r="N183" i="1"/>
  <c r="L183" i="1"/>
  <c r="J183" i="1"/>
  <c r="H183" i="1"/>
  <c r="R182" i="1"/>
  <c r="Q182" i="1"/>
  <c r="P182" i="1"/>
  <c r="N182" i="1"/>
  <c r="L182" i="1"/>
  <c r="J182" i="1"/>
  <c r="H182" i="1"/>
  <c r="Q181" i="1"/>
  <c r="R181" i="1" s="1"/>
  <c r="P181" i="1"/>
  <c r="N181" i="1"/>
  <c r="L181" i="1"/>
  <c r="J181" i="1"/>
  <c r="H181" i="1"/>
  <c r="R180" i="1"/>
  <c r="Q180" i="1"/>
  <c r="P180" i="1"/>
  <c r="N180" i="1"/>
  <c r="L180" i="1"/>
  <c r="J180" i="1"/>
  <c r="H180" i="1"/>
  <c r="Q179" i="1"/>
  <c r="R179" i="1" s="1"/>
  <c r="P179" i="1"/>
  <c r="N179" i="1"/>
  <c r="L179" i="1"/>
  <c r="J179" i="1"/>
  <c r="H179" i="1"/>
  <c r="R178" i="1"/>
  <c r="Q178" i="1"/>
  <c r="P178" i="1"/>
  <c r="N178" i="1"/>
  <c r="L178" i="1"/>
  <c r="J178" i="1"/>
  <c r="H178" i="1"/>
  <c r="R177" i="1"/>
  <c r="Q177" i="1"/>
  <c r="P177" i="1"/>
  <c r="N177" i="1"/>
  <c r="L177" i="1"/>
  <c r="J177" i="1"/>
  <c r="H177" i="1"/>
  <c r="R176" i="1"/>
  <c r="Q176" i="1"/>
  <c r="P176" i="1"/>
  <c r="N176" i="1"/>
  <c r="L176" i="1"/>
  <c r="J176" i="1"/>
  <c r="H176" i="1"/>
  <c r="Q175" i="1"/>
  <c r="R175" i="1" s="1"/>
  <c r="P175" i="1"/>
  <c r="N175" i="1"/>
  <c r="L175" i="1"/>
  <c r="J175" i="1"/>
  <c r="H175" i="1"/>
  <c r="R174" i="1"/>
  <c r="Q174" i="1"/>
  <c r="P174" i="1"/>
  <c r="N174" i="1"/>
  <c r="L174" i="1"/>
  <c r="J174" i="1"/>
  <c r="H174" i="1"/>
  <c r="Q173" i="1"/>
  <c r="R173" i="1" s="1"/>
  <c r="P173" i="1"/>
  <c r="N173" i="1"/>
  <c r="L173" i="1"/>
  <c r="J173" i="1"/>
  <c r="H173" i="1"/>
  <c r="R172" i="1"/>
  <c r="Q172" i="1"/>
  <c r="P172" i="1"/>
  <c r="N172" i="1"/>
  <c r="L172" i="1"/>
  <c r="J172" i="1"/>
  <c r="H172" i="1"/>
  <c r="Q171" i="1"/>
  <c r="R171" i="1" s="1"/>
  <c r="P171" i="1"/>
  <c r="N171" i="1"/>
  <c r="L171" i="1"/>
  <c r="J171" i="1"/>
  <c r="H171" i="1"/>
  <c r="R170" i="1"/>
  <c r="Q170" i="1"/>
  <c r="P170" i="1"/>
  <c r="N170" i="1"/>
  <c r="L170" i="1"/>
  <c r="J170" i="1"/>
  <c r="H170" i="1"/>
  <c r="R169" i="1"/>
  <c r="Q169" i="1"/>
  <c r="P169" i="1"/>
  <c r="N169" i="1"/>
  <c r="L169" i="1"/>
  <c r="J169" i="1"/>
  <c r="H169" i="1"/>
  <c r="R168" i="1"/>
  <c r="Q168" i="1"/>
  <c r="P168" i="1"/>
  <c r="N168" i="1"/>
  <c r="L168" i="1"/>
  <c r="J168" i="1"/>
  <c r="H168" i="1"/>
  <c r="Q167" i="1"/>
  <c r="R167" i="1" s="1"/>
  <c r="P167" i="1"/>
  <c r="N167" i="1"/>
  <c r="L167" i="1"/>
  <c r="J167" i="1"/>
  <c r="H167" i="1"/>
  <c r="R166" i="1"/>
  <c r="Q166" i="1"/>
  <c r="P166" i="1"/>
  <c r="N166" i="1"/>
  <c r="L166" i="1"/>
  <c r="J166" i="1"/>
  <c r="H166" i="1"/>
  <c r="Q165" i="1"/>
  <c r="R165" i="1" s="1"/>
  <c r="P165" i="1"/>
  <c r="N165" i="1"/>
  <c r="L165" i="1"/>
  <c r="J165" i="1"/>
  <c r="H165" i="1"/>
  <c r="R164" i="1"/>
  <c r="Q164" i="1"/>
  <c r="P164" i="1"/>
  <c r="N164" i="1"/>
  <c r="L164" i="1"/>
  <c r="J164" i="1"/>
  <c r="H164" i="1"/>
  <c r="Q163" i="1"/>
  <c r="R163" i="1" s="1"/>
  <c r="P163" i="1"/>
  <c r="N163" i="1"/>
  <c r="L163" i="1"/>
  <c r="J163" i="1"/>
  <c r="H163" i="1"/>
  <c r="R162" i="1"/>
  <c r="Q162" i="1"/>
  <c r="P162" i="1"/>
  <c r="N162" i="1"/>
  <c r="L162" i="1"/>
  <c r="J162" i="1"/>
  <c r="H162" i="1"/>
  <c r="R161" i="1"/>
  <c r="Q161" i="1"/>
  <c r="P161" i="1"/>
  <c r="N161" i="1"/>
  <c r="L161" i="1"/>
  <c r="J161" i="1"/>
  <c r="H161" i="1"/>
  <c r="R160" i="1"/>
  <c r="Q160" i="1"/>
  <c r="P160" i="1"/>
  <c r="N160" i="1"/>
  <c r="L160" i="1"/>
  <c r="J160" i="1"/>
  <c r="H160" i="1"/>
  <c r="Q159" i="1"/>
  <c r="R159" i="1" s="1"/>
  <c r="P159" i="1"/>
  <c r="N159" i="1"/>
  <c r="L159" i="1"/>
  <c r="J159" i="1"/>
  <c r="H159" i="1"/>
  <c r="R158" i="1"/>
  <c r="Q158" i="1"/>
  <c r="P158" i="1"/>
  <c r="N158" i="1"/>
  <c r="L158" i="1"/>
  <c r="J158" i="1"/>
  <c r="H158" i="1"/>
  <c r="Q157" i="1"/>
  <c r="R157" i="1" s="1"/>
  <c r="P157" i="1"/>
  <c r="N157" i="1"/>
  <c r="L157" i="1"/>
  <c r="J157" i="1"/>
  <c r="H157" i="1"/>
  <c r="R156" i="1"/>
  <c r="Q156" i="1"/>
  <c r="P156" i="1"/>
  <c r="N156" i="1"/>
  <c r="L156" i="1"/>
  <c r="J156" i="1"/>
  <c r="H156" i="1"/>
  <c r="Q155" i="1"/>
  <c r="R155" i="1" s="1"/>
  <c r="P155" i="1"/>
  <c r="N155" i="1"/>
  <c r="L155" i="1"/>
  <c r="J155" i="1"/>
  <c r="H155" i="1"/>
  <c r="R154" i="1"/>
  <c r="Q154" i="1"/>
  <c r="P154" i="1"/>
  <c r="N154" i="1"/>
  <c r="L154" i="1"/>
  <c r="J154" i="1"/>
  <c r="H154" i="1"/>
  <c r="R153" i="1"/>
  <c r="Q153" i="1"/>
  <c r="P153" i="1"/>
  <c r="N153" i="1"/>
  <c r="L153" i="1"/>
  <c r="J153" i="1"/>
  <c r="H153" i="1"/>
  <c r="R152" i="1"/>
  <c r="Q152" i="1"/>
  <c r="P152" i="1"/>
  <c r="N152" i="1"/>
  <c r="L152" i="1"/>
  <c r="J152" i="1"/>
  <c r="H152" i="1"/>
  <c r="Q151" i="1"/>
  <c r="R151" i="1" s="1"/>
  <c r="P151" i="1"/>
  <c r="N151" i="1"/>
  <c r="L151" i="1"/>
  <c r="J151" i="1"/>
  <c r="H151" i="1"/>
  <c r="R150" i="1"/>
  <c r="Q150" i="1"/>
  <c r="P150" i="1"/>
  <c r="N150" i="1"/>
  <c r="L150" i="1"/>
  <c r="J150" i="1"/>
  <c r="H150" i="1"/>
  <c r="Q149" i="1"/>
  <c r="R149" i="1" s="1"/>
  <c r="P149" i="1"/>
  <c r="N149" i="1"/>
  <c r="L149" i="1"/>
  <c r="J149" i="1"/>
  <c r="H149" i="1"/>
  <c r="R148" i="1"/>
  <c r="Q148" i="1"/>
  <c r="P148" i="1"/>
  <c r="N148" i="1"/>
  <c r="L148" i="1"/>
  <c r="J148" i="1"/>
  <c r="H148" i="1"/>
  <c r="Q147" i="1"/>
  <c r="R147" i="1" s="1"/>
  <c r="P147" i="1"/>
  <c r="N147" i="1"/>
  <c r="L147" i="1"/>
  <c r="J147" i="1"/>
  <c r="H147" i="1"/>
  <c r="R146" i="1"/>
  <c r="Q146" i="1"/>
  <c r="P146" i="1"/>
  <c r="N146" i="1"/>
  <c r="L146" i="1"/>
  <c r="J146" i="1"/>
  <c r="H146" i="1"/>
  <c r="R145" i="1"/>
  <c r="Q145" i="1"/>
  <c r="P145" i="1"/>
  <c r="N145" i="1"/>
  <c r="L145" i="1"/>
  <c r="J145" i="1"/>
  <c r="H145" i="1"/>
  <c r="R144" i="1"/>
  <c r="Q144" i="1"/>
  <c r="P144" i="1"/>
  <c r="N144" i="1"/>
  <c r="L144" i="1"/>
  <c r="J144" i="1"/>
  <c r="H144" i="1"/>
  <c r="Q143" i="1"/>
  <c r="R143" i="1" s="1"/>
  <c r="P143" i="1"/>
  <c r="N143" i="1"/>
  <c r="L143" i="1"/>
  <c r="J143" i="1"/>
  <c r="H143" i="1"/>
  <c r="R142" i="1"/>
  <c r="Q142" i="1"/>
  <c r="P142" i="1"/>
  <c r="N142" i="1"/>
  <c r="L142" i="1"/>
  <c r="J142" i="1"/>
  <c r="H142" i="1"/>
  <c r="Q141" i="1"/>
  <c r="R141" i="1" s="1"/>
  <c r="P141" i="1"/>
  <c r="N141" i="1"/>
  <c r="L141" i="1"/>
  <c r="J141" i="1"/>
  <c r="H141" i="1"/>
  <c r="R140" i="1"/>
  <c r="Q140" i="1"/>
  <c r="P140" i="1"/>
  <c r="N140" i="1"/>
  <c r="L140" i="1"/>
  <c r="J140" i="1"/>
  <c r="H140" i="1"/>
  <c r="Q139" i="1"/>
  <c r="R139" i="1" s="1"/>
  <c r="P139" i="1"/>
  <c r="N139" i="1"/>
  <c r="L139" i="1"/>
  <c r="J139" i="1"/>
  <c r="H139" i="1"/>
  <c r="R138" i="1"/>
  <c r="Q138" i="1"/>
  <c r="P138" i="1"/>
  <c r="N138" i="1"/>
  <c r="L138" i="1"/>
  <c r="J138" i="1"/>
  <c r="H138" i="1"/>
  <c r="R137" i="1"/>
  <c r="Q137" i="1"/>
  <c r="P137" i="1"/>
  <c r="N137" i="1"/>
  <c r="L137" i="1"/>
  <c r="J137" i="1"/>
  <c r="H137" i="1"/>
  <c r="R136" i="1"/>
  <c r="Q136" i="1"/>
  <c r="P136" i="1"/>
  <c r="N136" i="1"/>
  <c r="L136" i="1"/>
  <c r="J136" i="1"/>
  <c r="H136" i="1"/>
  <c r="Q135" i="1"/>
  <c r="R135" i="1" s="1"/>
  <c r="P135" i="1"/>
  <c r="N135" i="1"/>
  <c r="L135" i="1"/>
  <c r="J135" i="1"/>
  <c r="H135" i="1"/>
  <c r="R134" i="1"/>
  <c r="Q134" i="1"/>
  <c r="P134" i="1"/>
  <c r="N134" i="1"/>
  <c r="L134" i="1"/>
  <c r="J134" i="1"/>
  <c r="H134" i="1"/>
  <c r="F223" i="1"/>
  <c r="F222" i="1"/>
  <c r="F221" i="1"/>
  <c r="F220" i="1"/>
  <c r="F219" i="1"/>
  <c r="F218" i="1"/>
  <c r="F217" i="1"/>
  <c r="F216" i="1"/>
  <c r="F215" i="1"/>
  <c r="F214" i="1"/>
  <c r="F213" i="1"/>
  <c r="F212" i="1"/>
  <c r="F211" i="1"/>
  <c r="F210" i="1"/>
  <c r="F209" i="1"/>
  <c r="F208" i="1"/>
  <c r="F207" i="1"/>
  <c r="F206" i="1"/>
  <c r="F205" i="1"/>
  <c r="F204" i="1"/>
  <c r="F203" i="1"/>
  <c r="F202" i="1"/>
  <c r="F201" i="1"/>
  <c r="F200" i="1"/>
  <c r="F199" i="1"/>
  <c r="F198" i="1"/>
  <c r="F197" i="1"/>
  <c r="F196" i="1"/>
  <c r="F195" i="1"/>
  <c r="F194" i="1"/>
  <c r="F193" i="1"/>
  <c r="F192" i="1"/>
  <c r="F191" i="1"/>
  <c r="F190" i="1"/>
  <c r="F189" i="1"/>
  <c r="F188" i="1"/>
  <c r="F187" i="1"/>
  <c r="F186" i="1"/>
  <c r="F185" i="1"/>
  <c r="F184" i="1"/>
  <c r="F183" i="1"/>
  <c r="F182" i="1"/>
  <c r="F181" i="1"/>
  <c r="F180" i="1"/>
  <c r="F179" i="1"/>
  <c r="F178" i="1"/>
  <c r="F177" i="1"/>
  <c r="F176" i="1"/>
  <c r="F175" i="1"/>
  <c r="F174" i="1"/>
  <c r="F173" i="1"/>
  <c r="F172" i="1"/>
  <c r="F171" i="1"/>
  <c r="F170" i="1"/>
  <c r="F169" i="1"/>
  <c r="F168" i="1"/>
  <c r="F167" i="1"/>
  <c r="F166" i="1"/>
  <c r="F165" i="1"/>
  <c r="F164" i="1"/>
  <c r="F163" i="1"/>
  <c r="F162" i="1"/>
  <c r="F161" i="1"/>
  <c r="F160" i="1"/>
  <c r="F159" i="1"/>
  <c r="F158" i="1"/>
  <c r="F157" i="1"/>
  <c r="F156" i="1"/>
  <c r="F155" i="1"/>
  <c r="F154" i="1"/>
  <c r="F153" i="1"/>
  <c r="F152" i="1"/>
  <c r="F151" i="1"/>
  <c r="F150" i="1"/>
  <c r="F149" i="1"/>
  <c r="F148" i="1"/>
  <c r="F147" i="1"/>
  <c r="F146" i="1"/>
  <c r="F145" i="1"/>
  <c r="F144" i="1"/>
  <c r="F143" i="1"/>
  <c r="F142" i="1"/>
  <c r="F141" i="1"/>
  <c r="F140" i="1"/>
  <c r="F139" i="1"/>
  <c r="F138" i="1"/>
  <c r="F137" i="1"/>
  <c r="F136" i="1"/>
  <c r="F135" i="1"/>
  <c r="F134" i="1"/>
  <c r="A107" i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06" i="1"/>
  <c r="P228" i="1"/>
  <c r="P227" i="1"/>
  <c r="P226" i="1"/>
  <c r="P225" i="1"/>
  <c r="P224" i="1"/>
  <c r="P223" i="1"/>
  <c r="P222" i="1"/>
  <c r="P221" i="1"/>
  <c r="P220" i="1"/>
  <c r="P219" i="1"/>
  <c r="P218" i="1"/>
  <c r="P133" i="1"/>
  <c r="P132" i="1"/>
  <c r="P131" i="1"/>
  <c r="P130" i="1"/>
  <c r="P129" i="1"/>
  <c r="P128" i="1"/>
  <c r="P127" i="1"/>
  <c r="P126" i="1"/>
  <c r="P125" i="1"/>
  <c r="P124" i="1"/>
  <c r="P123" i="1"/>
  <c r="P122" i="1"/>
  <c r="P121" i="1"/>
  <c r="P120" i="1"/>
  <c r="P119" i="1"/>
  <c r="P118" i="1"/>
  <c r="P117" i="1"/>
  <c r="P116" i="1"/>
  <c r="P115" i="1"/>
  <c r="P114" i="1"/>
  <c r="P113" i="1"/>
  <c r="P112" i="1"/>
  <c r="P111" i="1"/>
  <c r="P110" i="1"/>
  <c r="P109" i="1"/>
  <c r="P108" i="1"/>
  <c r="P107" i="1"/>
  <c r="P106" i="1"/>
  <c r="F84" i="1"/>
  <c r="F83" i="1"/>
  <c r="F82" i="1"/>
  <c r="F81" i="1"/>
  <c r="F80" i="1"/>
  <c r="F79" i="1"/>
  <c r="F78" i="1"/>
  <c r="F77" i="1"/>
  <c r="F76" i="1"/>
  <c r="F75" i="1"/>
  <c r="F74" i="1"/>
  <c r="F73" i="1"/>
  <c r="F72" i="1"/>
  <c r="F71" i="1"/>
  <c r="F70" i="1"/>
  <c r="F69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Q90" i="1"/>
  <c r="R90" i="1" s="1"/>
  <c r="N90" i="1"/>
  <c r="L90" i="1"/>
  <c r="J90" i="1"/>
  <c r="H90" i="1"/>
  <c r="Q89" i="1"/>
  <c r="R89" i="1" s="1"/>
  <c r="N89" i="1"/>
  <c r="L89" i="1"/>
  <c r="J89" i="1"/>
  <c r="H89" i="1"/>
  <c r="Q88" i="1"/>
  <c r="R88" i="1" s="1"/>
  <c r="N88" i="1"/>
  <c r="L88" i="1"/>
  <c r="J88" i="1"/>
  <c r="H88" i="1"/>
  <c r="Q87" i="1"/>
  <c r="R87" i="1" s="1"/>
  <c r="N87" i="1"/>
  <c r="L87" i="1"/>
  <c r="J87" i="1"/>
  <c r="H87" i="1"/>
  <c r="Q86" i="1"/>
  <c r="R86" i="1" s="1"/>
  <c r="N86" i="1"/>
  <c r="L86" i="1"/>
  <c r="J86" i="1"/>
  <c r="H86" i="1"/>
  <c r="Q85" i="1"/>
  <c r="R85" i="1" s="1"/>
  <c r="N85" i="1"/>
  <c r="L85" i="1"/>
  <c r="J85" i="1"/>
  <c r="H85" i="1"/>
  <c r="Q84" i="1"/>
  <c r="R84" i="1" s="1"/>
  <c r="N84" i="1"/>
  <c r="L84" i="1"/>
  <c r="J84" i="1"/>
  <c r="H84" i="1"/>
  <c r="Q83" i="1"/>
  <c r="R83" i="1" s="1"/>
  <c r="N83" i="1"/>
  <c r="L83" i="1"/>
  <c r="J83" i="1"/>
  <c r="H83" i="1"/>
  <c r="Q82" i="1"/>
  <c r="R82" i="1" s="1"/>
  <c r="N82" i="1"/>
  <c r="L82" i="1"/>
  <c r="J82" i="1"/>
  <c r="H82" i="1"/>
  <c r="Q81" i="1"/>
  <c r="R81" i="1" s="1"/>
  <c r="N81" i="1"/>
  <c r="L81" i="1"/>
  <c r="J81" i="1"/>
  <c r="H81" i="1"/>
  <c r="Q80" i="1"/>
  <c r="R80" i="1" s="1"/>
  <c r="N80" i="1"/>
  <c r="L80" i="1"/>
  <c r="J80" i="1"/>
  <c r="H80" i="1"/>
  <c r="Q79" i="1"/>
  <c r="R79" i="1" s="1"/>
  <c r="N79" i="1"/>
  <c r="L79" i="1"/>
  <c r="J79" i="1"/>
  <c r="H79" i="1"/>
  <c r="Q78" i="1"/>
  <c r="R78" i="1" s="1"/>
  <c r="N78" i="1"/>
  <c r="L78" i="1"/>
  <c r="J78" i="1"/>
  <c r="H78" i="1"/>
  <c r="Q77" i="1"/>
  <c r="R77" i="1" s="1"/>
  <c r="N77" i="1"/>
  <c r="L77" i="1"/>
  <c r="J77" i="1"/>
  <c r="H77" i="1"/>
  <c r="Q76" i="1"/>
  <c r="R76" i="1" s="1"/>
  <c r="N76" i="1"/>
  <c r="L76" i="1"/>
  <c r="J76" i="1"/>
  <c r="H76" i="1"/>
  <c r="Q75" i="1"/>
  <c r="R75" i="1" s="1"/>
  <c r="N75" i="1"/>
  <c r="L75" i="1"/>
  <c r="J75" i="1"/>
  <c r="H75" i="1"/>
  <c r="Q74" i="1"/>
  <c r="R74" i="1" s="1"/>
  <c r="N74" i="1"/>
  <c r="L74" i="1"/>
  <c r="J74" i="1"/>
  <c r="H74" i="1"/>
  <c r="Q73" i="1"/>
  <c r="R73" i="1" s="1"/>
  <c r="N73" i="1"/>
  <c r="L73" i="1"/>
  <c r="J73" i="1"/>
  <c r="H73" i="1"/>
  <c r="Q72" i="1"/>
  <c r="R72" i="1" s="1"/>
  <c r="N72" i="1"/>
  <c r="L72" i="1"/>
  <c r="J72" i="1"/>
  <c r="H72" i="1"/>
  <c r="Q71" i="1"/>
  <c r="R71" i="1" s="1"/>
  <c r="N71" i="1"/>
  <c r="L71" i="1"/>
  <c r="J71" i="1"/>
  <c r="H71" i="1"/>
  <c r="Q70" i="1"/>
  <c r="R70" i="1" s="1"/>
  <c r="N70" i="1"/>
  <c r="L70" i="1"/>
  <c r="J70" i="1"/>
  <c r="H70" i="1"/>
  <c r="Q69" i="1"/>
  <c r="R69" i="1" s="1"/>
  <c r="N69" i="1"/>
  <c r="L69" i="1"/>
  <c r="J69" i="1"/>
  <c r="H69" i="1"/>
  <c r="Q68" i="1"/>
  <c r="R68" i="1" s="1"/>
  <c r="N68" i="1"/>
  <c r="L68" i="1"/>
  <c r="J68" i="1"/>
  <c r="H68" i="1"/>
  <c r="Q67" i="1"/>
  <c r="R67" i="1" s="1"/>
  <c r="N67" i="1"/>
  <c r="L67" i="1"/>
  <c r="J67" i="1"/>
  <c r="H67" i="1"/>
  <c r="Q66" i="1"/>
  <c r="R66" i="1" s="1"/>
  <c r="N66" i="1"/>
  <c r="L66" i="1"/>
  <c r="J66" i="1"/>
  <c r="H66" i="1"/>
  <c r="Q65" i="1"/>
  <c r="R65" i="1" s="1"/>
  <c r="N65" i="1"/>
  <c r="L65" i="1"/>
  <c r="J65" i="1"/>
  <c r="H65" i="1"/>
  <c r="Q64" i="1"/>
  <c r="R64" i="1" s="1"/>
  <c r="N64" i="1"/>
  <c r="L64" i="1"/>
  <c r="J64" i="1"/>
  <c r="H64" i="1"/>
  <c r="Q63" i="1"/>
  <c r="R63" i="1" s="1"/>
  <c r="N63" i="1"/>
  <c r="L63" i="1"/>
  <c r="J63" i="1"/>
  <c r="H63" i="1"/>
  <c r="Q62" i="1"/>
  <c r="R62" i="1" s="1"/>
  <c r="N62" i="1"/>
  <c r="L62" i="1"/>
  <c r="J62" i="1"/>
  <c r="H62" i="1"/>
  <c r="Q61" i="1"/>
  <c r="R61" i="1" s="1"/>
  <c r="N61" i="1"/>
  <c r="L61" i="1"/>
  <c r="J61" i="1"/>
  <c r="H61" i="1"/>
  <c r="Q60" i="1"/>
  <c r="R60" i="1" s="1"/>
  <c r="N60" i="1"/>
  <c r="L60" i="1"/>
  <c r="J60" i="1"/>
  <c r="H60" i="1"/>
  <c r="Q59" i="1"/>
  <c r="R59" i="1" s="1"/>
  <c r="N59" i="1"/>
  <c r="L59" i="1"/>
  <c r="J59" i="1"/>
  <c r="H59" i="1"/>
  <c r="Q58" i="1"/>
  <c r="R58" i="1" s="1"/>
  <c r="N58" i="1"/>
  <c r="L58" i="1"/>
  <c r="J58" i="1"/>
  <c r="H58" i="1"/>
  <c r="Q57" i="1"/>
  <c r="R57" i="1" s="1"/>
  <c r="N57" i="1"/>
  <c r="L57" i="1"/>
  <c r="J57" i="1"/>
  <c r="H57" i="1"/>
  <c r="Q56" i="1"/>
  <c r="R56" i="1" s="1"/>
  <c r="N56" i="1"/>
  <c r="L56" i="1"/>
  <c r="J56" i="1"/>
  <c r="H56" i="1"/>
  <c r="Q55" i="1"/>
  <c r="R55" i="1" s="1"/>
  <c r="N55" i="1"/>
  <c r="L55" i="1"/>
  <c r="J55" i="1"/>
  <c r="H55" i="1"/>
  <c r="Q54" i="1"/>
  <c r="R54" i="1" s="1"/>
  <c r="N54" i="1"/>
  <c r="L54" i="1"/>
  <c r="J54" i="1"/>
  <c r="H54" i="1"/>
  <c r="Q53" i="1"/>
  <c r="R53" i="1" s="1"/>
  <c r="N53" i="1"/>
  <c r="L53" i="1"/>
  <c r="J53" i="1"/>
  <c r="H53" i="1"/>
  <c r="Q52" i="1"/>
  <c r="R52" i="1" s="1"/>
  <c r="N52" i="1"/>
  <c r="L52" i="1"/>
  <c r="J52" i="1"/>
  <c r="H52" i="1"/>
  <c r="Q51" i="1"/>
  <c r="R51" i="1" s="1"/>
  <c r="N51" i="1"/>
  <c r="L51" i="1"/>
  <c r="J51" i="1"/>
  <c r="H51" i="1"/>
  <c r="Q50" i="1"/>
  <c r="R50" i="1" s="1"/>
  <c r="N50" i="1"/>
  <c r="L50" i="1"/>
  <c r="J50" i="1"/>
  <c r="H50" i="1"/>
  <c r="Q49" i="1"/>
  <c r="R49" i="1" s="1"/>
  <c r="N49" i="1"/>
  <c r="L49" i="1"/>
  <c r="J49" i="1"/>
  <c r="H49" i="1"/>
  <c r="Q48" i="1"/>
  <c r="R48" i="1" s="1"/>
  <c r="N48" i="1"/>
  <c r="L48" i="1"/>
  <c r="J48" i="1"/>
  <c r="H48" i="1"/>
  <c r="Q47" i="1"/>
  <c r="R47" i="1" s="1"/>
  <c r="N47" i="1"/>
  <c r="L47" i="1"/>
  <c r="J47" i="1"/>
  <c r="H47" i="1"/>
  <c r="Q46" i="1"/>
  <c r="R46" i="1" s="1"/>
  <c r="N46" i="1"/>
  <c r="L46" i="1"/>
  <c r="J46" i="1"/>
  <c r="H46" i="1"/>
  <c r="Q45" i="1"/>
  <c r="R45" i="1" s="1"/>
  <c r="N45" i="1"/>
  <c r="L45" i="1"/>
  <c r="J45" i="1"/>
  <c r="H45" i="1"/>
  <c r="Q44" i="1"/>
  <c r="R44" i="1" s="1"/>
  <c r="N44" i="1"/>
  <c r="L44" i="1"/>
  <c r="J44" i="1"/>
  <c r="H44" i="1"/>
  <c r="Q43" i="1"/>
  <c r="R43" i="1" s="1"/>
  <c r="N43" i="1"/>
  <c r="L43" i="1"/>
  <c r="J43" i="1"/>
  <c r="H43" i="1"/>
  <c r="Q42" i="1"/>
  <c r="R42" i="1" s="1"/>
  <c r="N42" i="1"/>
  <c r="L42" i="1"/>
  <c r="J42" i="1"/>
  <c r="H42" i="1"/>
  <c r="Q41" i="1"/>
  <c r="R41" i="1" s="1"/>
  <c r="N41" i="1"/>
  <c r="L41" i="1"/>
  <c r="J41" i="1"/>
  <c r="H41" i="1"/>
  <c r="Q40" i="1"/>
  <c r="R40" i="1" s="1"/>
  <c r="N40" i="1"/>
  <c r="L40" i="1"/>
  <c r="J40" i="1"/>
  <c r="H40" i="1"/>
  <c r="Q39" i="1"/>
  <c r="R39" i="1" s="1"/>
  <c r="N39" i="1"/>
  <c r="L39" i="1"/>
  <c r="J39" i="1"/>
  <c r="H39" i="1"/>
  <c r="Q38" i="1"/>
  <c r="R38" i="1" s="1"/>
  <c r="N38" i="1"/>
  <c r="L38" i="1"/>
  <c r="J38" i="1"/>
  <c r="H38" i="1"/>
  <c r="Q37" i="1"/>
  <c r="R37" i="1" s="1"/>
  <c r="N37" i="1"/>
  <c r="L37" i="1"/>
  <c r="J37" i="1"/>
  <c r="H37" i="1"/>
  <c r="Q36" i="1"/>
  <c r="R36" i="1" s="1"/>
  <c r="N36" i="1"/>
  <c r="L36" i="1"/>
  <c r="J36" i="1"/>
  <c r="H36" i="1"/>
  <c r="Q35" i="1"/>
  <c r="R35" i="1" s="1"/>
  <c r="N35" i="1"/>
  <c r="L35" i="1"/>
  <c r="J35" i="1"/>
  <c r="H35" i="1"/>
  <c r="Q34" i="1"/>
  <c r="R34" i="1" s="1"/>
  <c r="N34" i="1"/>
  <c r="L34" i="1"/>
  <c r="J34" i="1"/>
  <c r="H34" i="1"/>
  <c r="Q33" i="1"/>
  <c r="R33" i="1" s="1"/>
  <c r="N33" i="1"/>
  <c r="L33" i="1"/>
  <c r="J33" i="1"/>
  <c r="H33" i="1"/>
  <c r="Q32" i="1"/>
  <c r="R32" i="1" s="1"/>
  <c r="N32" i="1"/>
  <c r="L32" i="1"/>
  <c r="J32" i="1"/>
  <c r="H32" i="1"/>
  <c r="Q31" i="1"/>
  <c r="R31" i="1" s="1"/>
  <c r="N31" i="1"/>
  <c r="L31" i="1"/>
  <c r="J31" i="1"/>
  <c r="H31" i="1"/>
  <c r="Q30" i="1"/>
  <c r="R30" i="1" s="1"/>
  <c r="N30" i="1"/>
  <c r="L30" i="1"/>
  <c r="J30" i="1"/>
  <c r="H30" i="1"/>
  <c r="Q29" i="1"/>
  <c r="R29" i="1" s="1"/>
  <c r="N29" i="1"/>
  <c r="L29" i="1"/>
  <c r="J29" i="1"/>
  <c r="H29" i="1"/>
  <c r="Q28" i="1"/>
  <c r="R28" i="1" s="1"/>
  <c r="N28" i="1"/>
  <c r="L28" i="1"/>
  <c r="J28" i="1"/>
  <c r="H28" i="1"/>
  <c r="Q27" i="1"/>
  <c r="R27" i="1" s="1"/>
  <c r="N27" i="1"/>
  <c r="L27" i="1"/>
  <c r="J27" i="1"/>
  <c r="H27" i="1"/>
  <c r="Q26" i="1"/>
  <c r="R26" i="1" s="1"/>
  <c r="N26" i="1"/>
  <c r="L26" i="1"/>
  <c r="J26" i="1"/>
  <c r="H26" i="1"/>
  <c r="Q25" i="1"/>
  <c r="R25" i="1" s="1"/>
  <c r="N25" i="1"/>
  <c r="L25" i="1"/>
  <c r="J25" i="1"/>
  <c r="H25" i="1"/>
  <c r="Q24" i="1"/>
  <c r="R24" i="1" s="1"/>
  <c r="N24" i="1"/>
  <c r="L24" i="1"/>
  <c r="J24" i="1"/>
  <c r="H24" i="1"/>
  <c r="Q23" i="1"/>
  <c r="R23" i="1" s="1"/>
  <c r="N23" i="1"/>
  <c r="L23" i="1"/>
  <c r="J23" i="1"/>
  <c r="H23" i="1"/>
  <c r="Q22" i="1"/>
  <c r="R22" i="1" s="1"/>
  <c r="N22" i="1"/>
  <c r="L22" i="1"/>
  <c r="J22" i="1"/>
  <c r="H22" i="1"/>
  <c r="Q21" i="1"/>
  <c r="R21" i="1" s="1"/>
  <c r="N21" i="1"/>
  <c r="L21" i="1"/>
  <c r="J21" i="1"/>
  <c r="H21" i="1"/>
  <c r="Q20" i="1"/>
  <c r="R20" i="1" s="1"/>
  <c r="N20" i="1"/>
  <c r="L20" i="1"/>
  <c r="J20" i="1"/>
  <c r="H20" i="1"/>
  <c r="Q19" i="1"/>
  <c r="R19" i="1" s="1"/>
  <c r="N19" i="1"/>
  <c r="L19" i="1"/>
  <c r="J19" i="1"/>
  <c r="H19" i="1"/>
  <c r="A14" i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224" i="1"/>
  <c r="F225" i="1"/>
  <c r="F226" i="1"/>
  <c r="F227" i="1"/>
  <c r="F228" i="1"/>
  <c r="Q228" i="1"/>
  <c r="R228" i="1" s="1"/>
  <c r="N228" i="1"/>
  <c r="L228" i="1"/>
  <c r="J228" i="1"/>
  <c r="H228" i="1"/>
  <c r="A192" i="1" l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Q102" i="1"/>
  <c r="R102" i="1" s="1"/>
  <c r="N102" i="1"/>
  <c r="L102" i="1"/>
  <c r="J102" i="1"/>
  <c r="H102" i="1"/>
  <c r="F102" i="1"/>
  <c r="Q101" i="1"/>
  <c r="R101" i="1" s="1"/>
  <c r="N101" i="1"/>
  <c r="L101" i="1"/>
  <c r="J101" i="1"/>
  <c r="H101" i="1"/>
  <c r="F101" i="1"/>
  <c r="Q100" i="1"/>
  <c r="R100" i="1" s="1"/>
  <c r="N100" i="1"/>
  <c r="L100" i="1"/>
  <c r="J100" i="1"/>
  <c r="H100" i="1"/>
  <c r="F100" i="1"/>
  <c r="Q99" i="1"/>
  <c r="R99" i="1" s="1"/>
  <c r="N99" i="1"/>
  <c r="L99" i="1"/>
  <c r="J99" i="1"/>
  <c r="H99" i="1"/>
  <c r="F99" i="1"/>
  <c r="Q98" i="1"/>
  <c r="R98" i="1" s="1"/>
  <c r="N98" i="1"/>
  <c r="L98" i="1"/>
  <c r="J98" i="1"/>
  <c r="H98" i="1"/>
  <c r="F98" i="1"/>
  <c r="Q97" i="1"/>
  <c r="R97" i="1" s="1"/>
  <c r="N97" i="1"/>
  <c r="L97" i="1"/>
  <c r="J97" i="1"/>
  <c r="H97" i="1"/>
  <c r="F97" i="1"/>
  <c r="Q96" i="1"/>
  <c r="R96" i="1" s="1"/>
  <c r="N96" i="1"/>
  <c r="L96" i="1"/>
  <c r="J96" i="1"/>
  <c r="H96" i="1"/>
  <c r="F96" i="1"/>
  <c r="Q95" i="1"/>
  <c r="R95" i="1" s="1"/>
  <c r="N95" i="1"/>
  <c r="L95" i="1"/>
  <c r="J95" i="1"/>
  <c r="H95" i="1"/>
  <c r="F95" i="1"/>
  <c r="Q94" i="1"/>
  <c r="R94" i="1" s="1"/>
  <c r="N94" i="1"/>
  <c r="L94" i="1"/>
  <c r="J94" i="1"/>
  <c r="H94" i="1"/>
  <c r="F94" i="1"/>
  <c r="Q93" i="1"/>
  <c r="R93" i="1" s="1"/>
  <c r="N93" i="1"/>
  <c r="L93" i="1"/>
  <c r="J93" i="1"/>
  <c r="H93" i="1"/>
  <c r="F93" i="1"/>
  <c r="Q92" i="1"/>
  <c r="R92" i="1" s="1"/>
  <c r="N92" i="1"/>
  <c r="L92" i="1"/>
  <c r="J92" i="1"/>
  <c r="H92" i="1"/>
  <c r="F92" i="1"/>
  <c r="Q91" i="1"/>
  <c r="R91" i="1" s="1"/>
  <c r="N91" i="1"/>
  <c r="L91" i="1"/>
  <c r="J91" i="1"/>
  <c r="H91" i="1"/>
  <c r="F91" i="1"/>
  <c r="F90" i="1"/>
  <c r="F89" i="1"/>
  <c r="F88" i="1"/>
  <c r="F87" i="1"/>
  <c r="F86" i="1"/>
  <c r="F85" i="1"/>
  <c r="Q227" i="1" l="1"/>
  <c r="R227" i="1" s="1"/>
  <c r="N227" i="1"/>
  <c r="L227" i="1"/>
  <c r="J227" i="1"/>
  <c r="H227" i="1"/>
  <c r="Q226" i="1"/>
  <c r="R226" i="1" s="1"/>
  <c r="N226" i="1"/>
  <c r="L226" i="1"/>
  <c r="J226" i="1"/>
  <c r="H226" i="1"/>
  <c r="Q225" i="1"/>
  <c r="R225" i="1" s="1"/>
  <c r="N225" i="1"/>
  <c r="L225" i="1"/>
  <c r="J225" i="1"/>
  <c r="H225" i="1"/>
  <c r="Q224" i="1"/>
  <c r="R224" i="1" s="1"/>
  <c r="N224" i="1"/>
  <c r="L224" i="1"/>
  <c r="J224" i="1"/>
  <c r="H224" i="1"/>
  <c r="Q219" i="1" l="1"/>
  <c r="R219" i="1" s="1"/>
  <c r="N219" i="1"/>
  <c r="L219" i="1"/>
  <c r="J219" i="1"/>
  <c r="H219" i="1"/>
  <c r="Q218" i="1"/>
  <c r="R218" i="1" s="1"/>
  <c r="N218" i="1"/>
  <c r="L218" i="1"/>
  <c r="J218" i="1"/>
  <c r="H218" i="1"/>
  <c r="Q133" i="1"/>
  <c r="R133" i="1" s="1"/>
  <c r="N133" i="1"/>
  <c r="L133" i="1"/>
  <c r="J133" i="1"/>
  <c r="H133" i="1"/>
  <c r="Q132" i="1"/>
  <c r="R132" i="1" s="1"/>
  <c r="N132" i="1"/>
  <c r="L132" i="1"/>
  <c r="J132" i="1"/>
  <c r="H132" i="1"/>
  <c r="Q131" i="1"/>
  <c r="R131" i="1" s="1"/>
  <c r="N131" i="1"/>
  <c r="L131" i="1"/>
  <c r="J131" i="1"/>
  <c r="H131" i="1"/>
  <c r="Q130" i="1"/>
  <c r="R130" i="1" s="1"/>
  <c r="N130" i="1"/>
  <c r="L130" i="1"/>
  <c r="J130" i="1"/>
  <c r="H130" i="1"/>
  <c r="F229" i="1" l="1"/>
  <c r="P105" i="1"/>
  <c r="P229" i="1" s="1"/>
  <c r="Q106" i="1"/>
  <c r="Q107" i="1"/>
  <c r="Q108" i="1"/>
  <c r="Q109" i="1"/>
  <c r="Q110" i="1"/>
  <c r="Q111" i="1"/>
  <c r="Q112" i="1"/>
  <c r="Q113" i="1"/>
  <c r="Q114" i="1"/>
  <c r="Q116" i="1"/>
  <c r="Q117" i="1"/>
  <c r="Q118" i="1"/>
  <c r="Q119" i="1"/>
  <c r="Q121" i="1"/>
  <c r="Q122" i="1"/>
  <c r="Q123" i="1"/>
  <c r="Q124" i="1"/>
  <c r="Q125" i="1"/>
  <c r="Q126" i="1"/>
  <c r="Q127" i="1"/>
  <c r="Q129" i="1"/>
  <c r="Q220" i="1"/>
  <c r="Q221" i="1"/>
  <c r="Q222" i="1"/>
  <c r="Q223" i="1"/>
  <c r="Q18" i="1"/>
  <c r="N120" i="1" l="1"/>
  <c r="N105" i="1"/>
  <c r="L105" i="1"/>
  <c r="J128" i="1"/>
  <c r="Q115" i="1"/>
  <c r="R115" i="1" s="1"/>
  <c r="H128" i="1"/>
  <c r="Q14" i="1"/>
  <c r="R14" i="1" s="1"/>
  <c r="Q15" i="1"/>
  <c r="R15" i="1" s="1"/>
  <c r="Q16" i="1"/>
  <c r="R16" i="1" s="1"/>
  <c r="Q17" i="1"/>
  <c r="R17" i="1" s="1"/>
  <c r="R107" i="1"/>
  <c r="R108" i="1"/>
  <c r="R109" i="1"/>
  <c r="R111" i="1"/>
  <c r="R112" i="1"/>
  <c r="R113" i="1"/>
  <c r="R116" i="1"/>
  <c r="R117" i="1"/>
  <c r="R118" i="1"/>
  <c r="R121" i="1"/>
  <c r="R122" i="1"/>
  <c r="R124" i="1"/>
  <c r="R127" i="1"/>
  <c r="R129" i="1"/>
  <c r="R221" i="1"/>
  <c r="R222" i="1"/>
  <c r="R223" i="1"/>
  <c r="Q13" i="1"/>
  <c r="R18" i="1"/>
  <c r="R106" i="1"/>
  <c r="R110" i="1"/>
  <c r="R114" i="1"/>
  <c r="R119" i="1"/>
  <c r="R123" i="1"/>
  <c r="R125" i="1"/>
  <c r="R126" i="1"/>
  <c r="R220" i="1"/>
  <c r="N14" i="1"/>
  <c r="N15" i="1"/>
  <c r="N16" i="1"/>
  <c r="N17" i="1"/>
  <c r="N18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1" i="1"/>
  <c r="N122" i="1"/>
  <c r="N123" i="1"/>
  <c r="N124" i="1"/>
  <c r="N125" i="1"/>
  <c r="N126" i="1"/>
  <c r="N127" i="1"/>
  <c r="N128" i="1"/>
  <c r="N129" i="1"/>
  <c r="N220" i="1"/>
  <c r="N221" i="1"/>
  <c r="N222" i="1"/>
  <c r="N223" i="1"/>
  <c r="N13" i="1"/>
  <c r="L14" i="1"/>
  <c r="L15" i="1"/>
  <c r="L16" i="1"/>
  <c r="L17" i="1"/>
  <c r="L18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220" i="1"/>
  <c r="L221" i="1"/>
  <c r="L222" i="1"/>
  <c r="L223" i="1"/>
  <c r="L13" i="1"/>
  <c r="J14" i="1"/>
  <c r="J15" i="1"/>
  <c r="J16" i="1"/>
  <c r="J17" i="1"/>
  <c r="J18" i="1"/>
  <c r="J106" i="1"/>
  <c r="J107" i="1"/>
  <c r="J108" i="1"/>
  <c r="J109" i="1"/>
  <c r="J110" i="1"/>
  <c r="J111" i="1"/>
  <c r="J112" i="1"/>
  <c r="J113" i="1"/>
  <c r="J114" i="1"/>
  <c r="J116" i="1"/>
  <c r="J117" i="1"/>
  <c r="J118" i="1"/>
  <c r="J119" i="1"/>
  <c r="J121" i="1"/>
  <c r="J122" i="1"/>
  <c r="J123" i="1"/>
  <c r="J124" i="1"/>
  <c r="J125" i="1"/>
  <c r="J126" i="1"/>
  <c r="J127" i="1"/>
  <c r="J129" i="1"/>
  <c r="J220" i="1"/>
  <c r="J221" i="1"/>
  <c r="J222" i="1"/>
  <c r="J223" i="1"/>
  <c r="J13" i="1"/>
  <c r="H14" i="1"/>
  <c r="H15" i="1"/>
  <c r="H16" i="1"/>
  <c r="H17" i="1"/>
  <c r="H18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9" i="1"/>
  <c r="H220" i="1"/>
  <c r="H221" i="1"/>
  <c r="H222" i="1"/>
  <c r="H223" i="1"/>
  <c r="H13" i="1"/>
  <c r="F14" i="1"/>
  <c r="F15" i="1"/>
  <c r="F16" i="1"/>
  <c r="F17" i="1"/>
  <c r="F18" i="1"/>
  <c r="F13" i="1"/>
  <c r="R13" i="1" l="1"/>
  <c r="R103" i="1" s="1"/>
  <c r="Q103" i="1"/>
  <c r="H229" i="1"/>
  <c r="N229" i="1"/>
  <c r="L229" i="1"/>
  <c r="F103" i="1"/>
  <c r="J115" i="1"/>
  <c r="N103" i="1"/>
  <c r="P103" i="1" s="1"/>
  <c r="P230" i="1" s="1"/>
  <c r="Q120" i="1"/>
  <c r="R120" i="1" s="1"/>
  <c r="Q128" i="1"/>
  <c r="R128" i="1" s="1"/>
  <c r="Q105" i="1"/>
  <c r="R105" i="1" s="1"/>
  <c r="J105" i="1"/>
  <c r="H103" i="1"/>
  <c r="L103" i="1"/>
  <c r="J103" i="1"/>
  <c r="J120" i="1"/>
  <c r="J229" i="1" l="1"/>
  <c r="J230" i="1" s="1"/>
  <c r="R229" i="1"/>
  <c r="R230" i="1" s="1"/>
  <c r="H230" i="1"/>
  <c r="F230" i="1"/>
  <c r="N230" i="1"/>
  <c r="L230" i="1"/>
</calcChain>
</file>

<file path=xl/sharedStrings.xml><?xml version="1.0" encoding="utf-8"?>
<sst xmlns="http://schemas.openxmlformats.org/spreadsheetml/2006/main" count="472" uniqueCount="261">
  <si>
    <t>I-MACHINERY AND EQUIPMENT:</t>
  </si>
  <si>
    <t>II-RAW MATERIALS AND ACCESSORIES</t>
  </si>
  <si>
    <t>Total(II)</t>
  </si>
  <si>
    <t>Grand Total(I+II)</t>
  </si>
  <si>
    <t>ល.រ</t>
  </si>
  <si>
    <t>រាយមុខយថាប្រភេទទំនិញ</t>
  </si>
  <si>
    <t>ឯកតា</t>
  </si>
  <si>
    <t>គិតជា</t>
  </si>
  <si>
    <t>ក.អ.ក បានអនុញ្ញាត</t>
  </si>
  <si>
    <t>បរិមាណ</t>
  </si>
  <si>
    <t>តម្លៃរាយ</t>
  </si>
  <si>
    <t>តម្លៃសរុប(USD)</t>
  </si>
  <si>
    <t>នៅសល់</t>
  </si>
  <si>
    <t>ទឹកប្រាក់</t>
  </si>
  <si>
    <t>ព្រះរាជាណាចក្រកម្ពុជា</t>
  </si>
  <si>
    <t>ជាតិ​ សាសនា ព្រះមហាក្សត្រ</t>
  </si>
  <si>
    <t>តារាងរបាយការណ៍ប្រចាំត្រីមាស</t>
  </si>
  <si>
    <t xml:space="preserve">ស្តីពីការនាំចូលដោយពន្ធជាបន្ទុករដ្ឋនូវគ្រឿងម៉ាស៊ីន សំភារៈបរិក្ខារ និង​វត្ថុធាតុដើម </t>
  </si>
  <si>
    <t>របស់ក្រុមប្រឹក្សាអភិវឌ្ឍន៍កម្ពុជា/គណៈកម្មាធិការវិនិយោគកម្ពុជា</t>
  </si>
  <si>
    <t>TOTAL I</t>
  </si>
  <si>
    <t>ទូរស័ព្ទលេខៈ012​ 818 309</t>
  </si>
  <si>
    <t>M</t>
  </si>
  <si>
    <t>នាយកក្រុមហ៊ុន</t>
  </si>
  <si>
    <t>ត្រីមាសទី១/២៥</t>
  </si>
  <si>
    <t>លោក សាន់ ប្ញទ្ធា</t>
  </si>
  <si>
    <t>ត្រីមាសទី២/២៥</t>
  </si>
  <si>
    <t>ត្រីមាសទី៣/២៥</t>
  </si>
  <si>
    <t>ត្រីមាសទី៤/២៥</t>
  </si>
  <si>
    <t>ត្រីមាសទី១/២៦</t>
  </si>
  <si>
    <t>ក្រុមហ៊ុនៈ XIN CAI FU (CAMBODIA) CO., LTD.</t>
  </si>
  <si>
    <t>អាសយដ្នានៈ ផ្ទះលេខ គ្មាន, ផ្លូវលេខ គ្មាន, ដំណាក់ត្រយឹង, ចោមចៅទី២, ពោធិ៍សែនជ័យ, ភ្នំពេញ,</t>
  </si>
  <si>
    <t>តាមរយៈលិខិតលេខ លេខ. QIP211/26 អ.វ.លស ចុះថ្ងៃទី03 ខែកញ្ញា ឆ្នាំ2026</t>
  </si>
  <si>
    <t>ចាប់ពីថ្ងៃទី03 ខែកញ្ញា ឆ្នាំ​ 2026 ដល់ថ្ងៃទី 03 ខែកញ្ញា ឆ្នាំ2027</t>
  </si>
  <si>
    <t>One needle sewing machine</t>
  </si>
  <si>
    <t>Two needle sewing machine</t>
  </si>
  <si>
    <t>Overlock sewing machine</t>
  </si>
  <si>
    <t>Cover stitching machine</t>
  </si>
  <si>
    <t>Bartacking machine</t>
  </si>
  <si>
    <t>Waistband chainstitching machine</t>
  </si>
  <si>
    <t>Four thread coverstitch sewing machine</t>
  </si>
  <si>
    <t>Three needle five thread sewing machine</t>
  </si>
  <si>
    <t>Four needle six thread sewing machine</t>
  </si>
  <si>
    <t>Blind Stitching Machine</t>
  </si>
  <si>
    <t>Automatic elastic sewing machine</t>
  </si>
  <si>
    <t>Two needle elastic sewing machine</t>
  </si>
  <si>
    <t>Four needle elastic sewing machine</t>
  </si>
  <si>
    <t>Waistband sewing machine</t>
  </si>
  <si>
    <t>Collar sewing machine</t>
  </si>
  <si>
    <t>Embroidery machine (12 heads)</t>
  </si>
  <si>
    <t>Embroidery machine (20 heads)</t>
  </si>
  <si>
    <t>Pocket-hole sewing machine</t>
  </si>
  <si>
    <t>Beltloop cutting machine</t>
  </si>
  <si>
    <t>Heat transfer pressing machine</t>
  </si>
  <si>
    <t>Button hemming machine</t>
  </si>
  <si>
    <t>Button holing machine</t>
  </si>
  <si>
    <t>Button sewing machine</t>
  </si>
  <si>
    <t>Snap fixing machine</t>
  </si>
  <si>
    <t>Labeling machine</t>
  </si>
  <si>
    <t>Plastic container</t>
  </si>
  <si>
    <t>Worker chair</t>
  </si>
  <si>
    <t>Feed-off the arm sewing machine</t>
  </si>
  <si>
    <t>Flat bed interlocking machine</t>
  </si>
  <si>
    <t>Computerized designing machine with plotter</t>
  </si>
  <si>
    <t>Hanger system</t>
  </si>
  <si>
    <t>Auto cutter</t>
  </si>
  <si>
    <t>Auto spreader</t>
  </si>
  <si>
    <t>Fabric cutting machine</t>
  </si>
  <si>
    <t>Straight knife cutting machine</t>
  </si>
  <si>
    <t>Die cutter</t>
  </si>
  <si>
    <t>Fabric piping cutting machine</t>
  </si>
  <si>
    <t>End cutter</t>
  </si>
  <si>
    <t>Fabric drilling machine</t>
  </si>
  <si>
    <t>Fabric spreading machine</t>
  </si>
  <si>
    <t>Metal glove</t>
  </si>
  <si>
    <t>Band knife cutting machine</t>
  </si>
  <si>
    <t>Washing machine</t>
  </si>
  <si>
    <t>Drying machine</t>
  </si>
  <si>
    <t>Extracting machine</t>
  </si>
  <si>
    <t>Air Compressor (10HP)</t>
  </si>
  <si>
    <t>Air Compressor (20HP)</t>
  </si>
  <si>
    <t>Water softener system</t>
  </si>
  <si>
    <t>Electric steam boiler (3 Ton)</t>
  </si>
  <si>
    <t>Electric steam boiler (2 Ton)</t>
  </si>
  <si>
    <t>Steam Iron</t>
  </si>
  <si>
    <t>Vacuum ironing table</t>
  </si>
  <si>
    <t>Pressing table</t>
  </si>
  <si>
    <t>Electric iron</t>
  </si>
  <si>
    <t>Fusing machine</t>
  </si>
  <si>
    <t>Mould pressing machine</t>
  </si>
  <si>
    <t>Spot removing machine</t>
  </si>
  <si>
    <t>Strapping machine</t>
  </si>
  <si>
    <t>Tag gun</t>
  </si>
  <si>
    <t>Spray gun</t>
  </si>
  <si>
    <t>Metal detecting machine</t>
  </si>
  <si>
    <t>Checking table</t>
  </si>
  <si>
    <t>Weighing scale (100Kg)</t>
  </si>
  <si>
    <t>Electronic weighing scale (50Kg)</t>
  </si>
  <si>
    <t>Fabric inspecting machine</t>
  </si>
  <si>
    <t>Water drinking machine</t>
  </si>
  <si>
    <t>Fabric testing machine</t>
  </si>
  <si>
    <t>Fabric relaxing machine</t>
  </si>
  <si>
    <t>Numbering machine</t>
  </si>
  <si>
    <t>Barcode printer</t>
  </si>
  <si>
    <t>Fabric roll rack</t>
  </si>
  <si>
    <t>Tape cutter</t>
  </si>
  <si>
    <t>Thread rewinding machine</t>
  </si>
  <si>
    <t>Thread sucking machine</t>
  </si>
  <si>
    <t>Forklift (5 Ton)</t>
  </si>
  <si>
    <t>Foklift (2 Ton)</t>
  </si>
  <si>
    <t>Drinking water dispenser</t>
  </si>
  <si>
    <t>Water filter system</t>
  </si>
  <si>
    <t>Time recorder</t>
  </si>
  <si>
    <t>Generator 650Kva</t>
  </si>
  <si>
    <t>Generator 350Kva</t>
  </si>
  <si>
    <t>Generator 150Kva</t>
  </si>
  <si>
    <t>Numbering device</t>
  </si>
  <si>
    <t>Air compressor (15Hp)</t>
  </si>
  <si>
    <t>Water ventilation cooling system</t>
  </si>
  <si>
    <t>Face mask</t>
  </si>
  <si>
    <t>Temperature measuring device</t>
  </si>
  <si>
    <t>Dummy</t>
  </si>
  <si>
    <t>Auto template machine</t>
  </si>
  <si>
    <t>Iron shelf</t>
  </si>
  <si>
    <t>Set</t>
  </si>
  <si>
    <t>Pcs</t>
  </si>
  <si>
    <t>set</t>
  </si>
  <si>
    <t>Bag</t>
  </si>
  <si>
    <t>Woven fabric</t>
  </si>
  <si>
    <t>Yarn</t>
  </si>
  <si>
    <t>Non woven fabric</t>
  </si>
  <si>
    <t>Knitted fabric</t>
  </si>
  <si>
    <t>Inter lining fabric</t>
  </si>
  <si>
    <t>Non Woven interlinning</t>
  </si>
  <si>
    <t>Embroidery fabric</t>
  </si>
  <si>
    <t>Pocket fabric</t>
  </si>
  <si>
    <t>Mesh fabric</t>
  </si>
  <si>
    <t>PU Fabric</t>
  </si>
  <si>
    <t>Flat knit collar</t>
  </si>
  <si>
    <t>Flat knit cuff</t>
  </si>
  <si>
    <t>Ribbon</t>
  </si>
  <si>
    <t>Main label</t>
  </si>
  <si>
    <t>Woven label</t>
  </si>
  <si>
    <t>Size label</t>
  </si>
  <si>
    <t>Care label</t>
  </si>
  <si>
    <t>Rubber label</t>
  </si>
  <si>
    <t>Leather label</t>
  </si>
  <si>
    <t>Sticker label</t>
  </si>
  <si>
    <t>Paper label</t>
  </si>
  <si>
    <t>Insert card</t>
  </si>
  <si>
    <t>Plastic sticker</t>
  </si>
  <si>
    <t>Metal button</t>
  </si>
  <si>
    <t>Plastic button</t>
  </si>
  <si>
    <t>Metal zipper</t>
  </si>
  <si>
    <t>Plastic zipper</t>
  </si>
  <si>
    <t>Elastic band</t>
  </si>
  <si>
    <t>Drawstring</t>
  </si>
  <si>
    <t>Woven tape</t>
  </si>
  <si>
    <t>Eyelet</t>
  </si>
  <si>
    <t>Nylon thread</t>
  </si>
  <si>
    <t>Cotton thread</t>
  </si>
  <si>
    <t>Plastic hanger</t>
  </si>
  <si>
    <t>Metal hanger</t>
  </si>
  <si>
    <t>Plastic clip</t>
  </si>
  <si>
    <t>Card board paper</t>
  </si>
  <si>
    <t>Magic tape</t>
  </si>
  <si>
    <t>Lace width 1cm-5Cm</t>
  </si>
  <si>
    <t>Cotton Tape</t>
  </si>
  <si>
    <t>Hang tag</t>
  </si>
  <si>
    <t>Price ticket</t>
  </si>
  <si>
    <t>Paper sticker</t>
  </si>
  <si>
    <t>Plastic tag pin</t>
  </si>
  <si>
    <t>Plastic loop pin</t>
  </si>
  <si>
    <t>Tissue paprer</t>
  </si>
  <si>
    <t>Pattern paper</t>
  </si>
  <si>
    <t>Poly bag</t>
  </si>
  <si>
    <t>Plastic wrap</t>
  </si>
  <si>
    <t>Metal chain</t>
  </si>
  <si>
    <t>Plastic chain</t>
  </si>
  <si>
    <t>Sponge sheet</t>
  </si>
  <si>
    <t>Packing tray</t>
  </si>
  <si>
    <t>Poly bag with snap cover</t>
  </si>
  <si>
    <t>Marker paper</t>
  </si>
  <si>
    <t>Carbon paper (121*182cm)</t>
  </si>
  <si>
    <t>Bra cup</t>
  </si>
  <si>
    <t>Metal bead</t>
  </si>
  <si>
    <t>Plastic bead</t>
  </si>
  <si>
    <t>Bra wire</t>
  </si>
  <si>
    <t>Plastic stopper</t>
  </si>
  <si>
    <t>Gum tape</t>
  </si>
  <si>
    <t>Plastic buckle</t>
  </si>
  <si>
    <t>Metal buckle</t>
  </si>
  <si>
    <t>Snap button</t>
  </si>
  <si>
    <t>Ribbon bow</t>
  </si>
  <si>
    <t>Garment decoration</t>
  </si>
  <si>
    <t>Rhinestone</t>
  </si>
  <si>
    <t>Sublimation sheet</t>
  </si>
  <si>
    <t>Velcro tape</t>
  </si>
  <si>
    <t>Transparent tape</t>
  </si>
  <si>
    <t>Twill tape</t>
  </si>
  <si>
    <t>Safety pin</t>
  </si>
  <si>
    <t>Barcode sticker</t>
  </si>
  <si>
    <t>Polyester thread</t>
  </si>
  <si>
    <t>Elastic thread</t>
  </si>
  <si>
    <t>Nylon zipper</t>
  </si>
  <si>
    <t>Leather patch</t>
  </si>
  <si>
    <t>Printed label</t>
  </si>
  <si>
    <t>Badge</t>
  </si>
  <si>
    <t>Embroidery patch</t>
  </si>
  <si>
    <t>Heat transfer label</t>
  </si>
  <si>
    <t>Lace</t>
  </si>
  <si>
    <t>Shoulder tape</t>
  </si>
  <si>
    <t>Herringbone tape</t>
  </si>
  <si>
    <t>Elastic string</t>
  </si>
  <si>
    <t>Sticker</t>
  </si>
  <si>
    <t>Size sticker</t>
  </si>
  <si>
    <t>Price sticker</t>
  </si>
  <si>
    <t>Hanger sticker</t>
  </si>
  <si>
    <t>Polybag sticker</t>
  </si>
  <si>
    <t>Carton sticker</t>
  </si>
  <si>
    <t>Snap</t>
  </si>
  <si>
    <t>Stopper</t>
  </si>
  <si>
    <t>Rivet</t>
  </si>
  <si>
    <t>Buckle</t>
  </si>
  <si>
    <t>Size tag</t>
  </si>
  <si>
    <t>Paper hangtag</t>
  </si>
  <si>
    <t>Plastic hangtag</t>
  </si>
  <si>
    <t>Waist tag</t>
  </si>
  <si>
    <t>Price tag</t>
  </si>
  <si>
    <t>Hanger</t>
  </si>
  <si>
    <t>Sizer clip</t>
  </si>
  <si>
    <t>Hanger clip</t>
  </si>
  <si>
    <t>Polybag</t>
  </si>
  <si>
    <t>Plastic polybag</t>
  </si>
  <si>
    <t>Seal tape</t>
  </si>
  <si>
    <t>Plastic box</t>
  </si>
  <si>
    <t>Carton box</t>
  </si>
  <si>
    <t>Plastic pin</t>
  </si>
  <si>
    <t>Barcode printer ribbon</t>
  </si>
  <si>
    <t>Sequin</t>
  </si>
  <si>
    <t>Hook &amp; bar</t>
  </si>
  <si>
    <t>Security tag</t>
  </si>
  <si>
    <t>Supertag VST, ILI</t>
  </si>
  <si>
    <t>Super tack</t>
  </si>
  <si>
    <t>Smoking thread</t>
  </si>
  <si>
    <t>Knitted rib</t>
  </si>
  <si>
    <t>Hanger loop</t>
  </si>
  <si>
    <t>Padding</t>
  </si>
  <si>
    <t>Faux fur trim</t>
  </si>
  <si>
    <t>Sponge</t>
  </si>
  <si>
    <t>Leather belt</t>
  </si>
  <si>
    <t>Belt</t>
  </si>
  <si>
    <t>Kg</t>
  </si>
  <si>
    <t>Yd</t>
  </si>
  <si>
    <t>Doz</t>
  </si>
  <si>
    <t>Gross</t>
  </si>
  <si>
    <t>Cone</t>
  </si>
  <si>
    <t>Box</t>
  </si>
  <si>
    <t>Roll</t>
  </si>
  <si>
    <t>Value</t>
  </si>
  <si>
    <t>Pc</t>
  </si>
  <si>
    <t>ភ្នំពេញ, ថ្ងៃទី    26    ខែ  មករា      ឆ្នាំ 2027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</si>
</sst>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</numFmts>
  <fonts count="1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2"/>
      <color theme="1"/>
      <name val="Khmer OS"/>
    </font>
    <font>
      <sz val="18"/>
      <name val="Khmer OS Muol Light"/>
    </font>
    <font>
      <sz val="16"/>
      <name val="Khmer OS Muol Light"/>
    </font>
    <font>
      <sz val="16"/>
      <name val="Khmer OS Battambang"/>
    </font>
    <font>
      <b/>
      <sz val="16"/>
      <name val="Khmer OS Battambang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8"/>
      <name val="Khmer OS Battambang"/>
    </font>
    <font>
      <sz val="13"/>
      <color theme="1"/>
      <name val="Times New Roman"/>
      <family val="1"/>
    </font>
    <font>
      <b/>
      <sz val="11"/>
      <color theme="1"/>
      <name val="Khmer Mool"/>
    </font>
    <font>
      <b/>
      <sz val="18"/>
      <name val="Khmer Mool"/>
    </font>
  </fonts>
  <fills count="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77">
    <xf numFmtId="0" fontId="0" fillId="0" borderId="0" xfId="0"/>
    <xf numFmtId="0" fontId="2" fillId="0" borderId="0" xfId="0" applyFont="1"/>
    <xf numFmtId="43" fontId="2" fillId="0" borderId="0" xfId="1" applyFont="1"/>
    <xf numFmtId="43" fontId="0" fillId="0" borderId="0" xfId="1" applyFont="1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3" fillId="0" borderId="0" xfId="0" applyFont="1"/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8" fillId="2" borderId="2" xfId="0" applyFont="1" applyFill="1" applyBorder="1" applyAlignment="1">
      <alignment horizontal="left" vertical="center"/>
    </xf>
    <xf numFmtId="0" fontId="8" fillId="2" borderId="2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 wrapText="1"/>
    </xf>
    <xf numFmtId="0" fontId="9" fillId="2" borderId="0" xfId="0" applyFont="1" applyFill="1"/>
    <xf numFmtId="43" fontId="9" fillId="2" borderId="0" xfId="1" applyFont="1" applyFill="1"/>
    <xf numFmtId="0" fontId="9" fillId="0" borderId="1" xfId="0" applyFont="1" applyBorder="1" applyAlignment="1">
      <alignment horizontal="center" vertical="center"/>
    </xf>
    <xf numFmtId="0" fontId="9" fillId="0" borderId="1" xfId="0" applyFont="1" applyBorder="1"/>
    <xf numFmtId="0" fontId="9" fillId="0" borderId="1" xfId="0" applyFont="1" applyBorder="1" applyAlignment="1">
      <alignment horizontal="center"/>
    </xf>
    <xf numFmtId="44" fontId="9" fillId="0" borderId="1" xfId="2" applyFont="1" applyBorder="1"/>
    <xf numFmtId="4" fontId="9" fillId="0" borderId="1" xfId="0" applyNumberFormat="1" applyFont="1" applyBorder="1"/>
    <xf numFmtId="44" fontId="9" fillId="0" borderId="1" xfId="0" applyNumberFormat="1" applyFont="1" applyBorder="1"/>
    <xf numFmtId="43" fontId="9" fillId="0" borderId="1" xfId="1" applyFont="1" applyBorder="1"/>
    <xf numFmtId="44" fontId="9" fillId="0" borderId="1" xfId="2" applyFont="1" applyFill="1" applyBorder="1"/>
    <xf numFmtId="43" fontId="9" fillId="0" borderId="1" xfId="1" applyFont="1" applyFill="1" applyBorder="1"/>
    <xf numFmtId="0" fontId="8" fillId="3" borderId="1" xfId="0" applyFont="1" applyFill="1" applyBorder="1" applyAlignment="1">
      <alignment horizontal="center"/>
    </xf>
    <xf numFmtId="44" fontId="8" fillId="3" borderId="1" xfId="2" applyFont="1" applyFill="1" applyBorder="1"/>
    <xf numFmtId="4" fontId="8" fillId="3" borderId="1" xfId="0" applyNumberFormat="1" applyFont="1" applyFill="1" applyBorder="1"/>
    <xf numFmtId="0" fontId="8" fillId="3" borderId="1" xfId="0" applyFont="1" applyFill="1" applyBorder="1"/>
    <xf numFmtId="44" fontId="8" fillId="3" borderId="1" xfId="0" applyNumberFormat="1" applyFont="1" applyFill="1" applyBorder="1"/>
    <xf numFmtId="43" fontId="8" fillId="3" borderId="1" xfId="1" applyFont="1" applyFill="1" applyBorder="1"/>
    <xf numFmtId="0" fontId="8" fillId="2" borderId="1" xfId="0" applyFont="1" applyFill="1" applyBorder="1" applyAlignment="1">
      <alignment horizontal="left" vertical="center"/>
    </xf>
    <xf numFmtId="0" fontId="9" fillId="2" borderId="1" xfId="0" applyFont="1" applyFill="1" applyBorder="1"/>
    <xf numFmtId="0" fontId="9" fillId="2" borderId="1" xfId="0" applyFont="1" applyFill="1" applyBorder="1" applyAlignment="1">
      <alignment horizontal="center"/>
    </xf>
    <xf numFmtId="44" fontId="9" fillId="2" borderId="1" xfId="2" applyFont="1" applyFill="1" applyBorder="1"/>
    <xf numFmtId="4" fontId="9" fillId="2" borderId="1" xfId="0" applyNumberFormat="1" applyFont="1" applyFill="1" applyBorder="1"/>
    <xf numFmtId="43" fontId="9" fillId="2" borderId="1" xfId="1" applyFont="1" applyFill="1" applyBorder="1"/>
    <xf numFmtId="164" fontId="9" fillId="0" borderId="1" xfId="1" applyNumberFormat="1" applyFont="1" applyFill="1" applyBorder="1" applyAlignment="1">
      <alignment horizontal="center"/>
    </xf>
    <xf numFmtId="164" fontId="9" fillId="0" borderId="1" xfId="1" applyNumberFormat="1" applyFont="1" applyBorder="1" applyAlignment="1">
      <alignment horizontal="center"/>
    </xf>
    <xf numFmtId="4" fontId="10" fillId="0" borderId="1" xfId="0" applyNumberFormat="1" applyFont="1" applyBorder="1"/>
    <xf numFmtId="43" fontId="10" fillId="0" borderId="1" xfId="1" applyFont="1" applyBorder="1"/>
    <xf numFmtId="0" fontId="10" fillId="0" borderId="1" xfId="0" applyFont="1" applyBorder="1"/>
    <xf numFmtId="4" fontId="13" fillId="0" borderId="1" xfId="0" applyNumberFormat="1" applyFont="1" applyBorder="1"/>
    <xf numFmtId="0" fontId="14" fillId="0" borderId="0" xfId="0" applyFont="1"/>
    <xf numFmtId="0" fontId="8" fillId="4" borderId="1" xfId="0" applyFont="1" applyFill="1" applyBorder="1" applyAlignment="1">
      <alignment horizontal="center"/>
    </xf>
    <xf numFmtId="0" fontId="9" fillId="5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/>
    </xf>
    <xf numFmtId="0" fontId="9" fillId="5" borderId="1" xfId="0" applyFont="1" applyFill="1" applyBorder="1" applyAlignment="1">
      <alignment horizontal="center"/>
    </xf>
    <xf numFmtId="164" fontId="9" fillId="5" borderId="1" xfId="1" applyNumberFormat="1" applyFont="1" applyFill="1" applyBorder="1" applyAlignment="1">
      <alignment horizontal="center"/>
    </xf>
    <xf numFmtId="44" fontId="9" fillId="5" borderId="1" xfId="2" applyFont="1" applyFill="1" applyBorder="1"/>
    <xf numFmtId="43" fontId="8" fillId="5" borderId="1" xfId="0" applyNumberFormat="1" applyFont="1" applyFill="1" applyBorder="1"/>
    <xf numFmtId="4" fontId="10" fillId="5" borderId="1" xfId="0" applyNumberFormat="1" applyFont="1" applyFill="1" applyBorder="1"/>
    <xf numFmtId="0" fontId="10" fillId="5" borderId="1" xfId="0" applyFont="1" applyFill="1" applyBorder="1"/>
    <xf numFmtId="43" fontId="10" fillId="5" borderId="1" xfId="1" applyFont="1" applyFill="1" applyBorder="1"/>
    <xf numFmtId="0" fontId="8" fillId="4" borderId="1" xfId="0" applyFont="1" applyFill="1" applyBorder="1" applyAlignment="1">
      <alignment horizontal="center" vertical="center"/>
    </xf>
    <xf numFmtId="164" fontId="8" fillId="4" borderId="1" xfId="1" applyNumberFormat="1" applyFont="1" applyFill="1" applyBorder="1" applyAlignment="1">
      <alignment horizontal="center"/>
    </xf>
    <xf numFmtId="44" fontId="8" fillId="4" borderId="1" xfId="2" applyFont="1" applyFill="1" applyBorder="1"/>
    <xf numFmtId="164" fontId="8" fillId="4" borderId="1" xfId="0" applyNumberFormat="1" applyFont="1" applyFill="1" applyBorder="1"/>
    <xf numFmtId="43" fontId="8" fillId="4" borderId="1" xfId="1" applyFont="1" applyFill="1" applyBorder="1"/>
    <xf numFmtId="4" fontId="11" fillId="4" borderId="1" xfId="0" applyNumberFormat="1" applyFont="1" applyFill="1" applyBorder="1"/>
    <xf numFmtId="0" fontId="11" fillId="4" borderId="1" xfId="0" applyFont="1" applyFill="1" applyBorder="1"/>
    <xf numFmtId="44" fontId="11" fillId="4" borderId="1" xfId="0" applyNumberFormat="1" applyFont="1" applyFill="1" applyBorder="1"/>
    <xf numFmtId="43" fontId="11" fillId="4" borderId="1" xfId="1" applyFont="1" applyFill="1" applyBorder="1"/>
    <xf numFmtId="44" fontId="13" fillId="0" borderId="1" xfId="2" applyFont="1" applyBorder="1"/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8" fillId="3" borderId="3" xfId="0" applyFont="1" applyFill="1" applyBorder="1" applyAlignment="1">
      <alignment horizontal="center" vertical="center"/>
    </xf>
    <xf numFmtId="0" fontId="8" fillId="3" borderId="4" xfId="0" applyFont="1" applyFill="1" applyBorder="1" applyAlignment="1">
      <alignment horizontal="center" vertical="center"/>
    </xf>
    <xf numFmtId="0" fontId="8" fillId="3" borderId="5" xfId="0" applyFont="1" applyFill="1" applyBorder="1" applyAlignment="1">
      <alignment horizontal="center" vertical="center"/>
    </xf>
  </cellXfs>
  <cellStyles count="3">
    <cellStyle name="Comma" xfId="1" builtinId="3"/>
    <cellStyle name="Currency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38"/>
  <sheetViews>
    <sheetView tabSelected="1" view="pageBreakPreview" topLeftCell="A91" zoomScale="85" zoomScaleNormal="85" zoomScaleSheetLayoutView="85" workbookViewId="0">
      <selection activeCell="G71" sqref="G71"/>
    </sheetView>
  </sheetViews>
  <sheetFormatPr defaultRowHeight="15"/>
  <cols>
    <col min="1" max="1" width="7.28515625" customWidth="1"/>
    <col min="2" max="2" width="47.140625" customWidth="1"/>
    <col min="3" max="3" width="12.28515625" style="5" customWidth="1"/>
    <col min="4" max="4" width="14.7109375" style="5" customWidth="1"/>
    <col min="5" max="5" width="16.28515625" customWidth="1"/>
    <col min="6" max="6" width="24" customWidth="1"/>
    <col min="7" max="7" width="16.140625" customWidth="1"/>
    <col min="8" max="8" width="19.5703125" customWidth="1"/>
    <col min="9" max="9" width="14.140625" bestFit="1" customWidth="1"/>
    <col min="10" max="10" width="18.140625" customWidth="1"/>
    <col min="11" max="11" width="15.5703125" customWidth="1"/>
    <col min="12" max="12" width="27.85546875" bestFit="1" customWidth="1"/>
    <col min="13" max="13" width="16" style="3" bestFit="1" customWidth="1"/>
    <col min="14" max="14" width="20.85546875" customWidth="1"/>
    <col min="15" max="15" width="16" customWidth="1"/>
    <col min="16" max="16" width="17.28515625" customWidth="1"/>
    <col min="17" max="17" width="15.140625" customWidth="1"/>
    <col min="18" max="18" width="22.85546875" customWidth="1"/>
  </cols>
  <sheetData>
    <row r="1" spans="1:18" s="1" customFormat="1" ht="27" customHeight="1">
      <c r="C1" s="4"/>
      <c r="D1" s="4"/>
      <c r="M1" s="2"/>
      <c r="N1" s="64" t="s">
        <v>14</v>
      </c>
      <c r="O1" s="64"/>
      <c r="P1" s="64"/>
      <c r="Q1" s="64"/>
      <c r="R1" s="64"/>
    </row>
    <row r="2" spans="1:18" s="1" customFormat="1" ht="27" customHeight="1">
      <c r="A2" s="8" t="s">
        <v>29</v>
      </c>
      <c r="C2" s="4"/>
      <c r="D2" s="4"/>
      <c r="M2" s="2"/>
      <c r="N2" s="64" t="s">
        <v>15</v>
      </c>
      <c r="O2" s="64"/>
      <c r="P2" s="64"/>
      <c r="Q2" s="64"/>
      <c r="R2" s="64"/>
    </row>
    <row r="3" spans="1:18" s="1" customFormat="1" ht="27" customHeight="1">
      <c r="A3" s="8" t="s">
        <v>30</v>
      </c>
      <c r="C3" s="4"/>
      <c r="D3" s="4"/>
      <c r="M3" s="2"/>
    </row>
    <row r="4" spans="1:18" s="1" customFormat="1" ht="36.75" customHeight="1">
      <c r="A4" s="8" t="s">
        <v>20</v>
      </c>
      <c r="C4" s="4"/>
      <c r="D4" s="4"/>
      <c r="G4" s="65" t="s">
        <v>16</v>
      </c>
      <c r="H4" s="65"/>
      <c r="I4" s="65"/>
      <c r="J4" s="65"/>
      <c r="K4" s="65"/>
      <c r="L4" s="65"/>
      <c r="M4" s="65"/>
    </row>
    <row r="5" spans="1:18" s="1" customFormat="1" ht="27" customHeight="1">
      <c r="C5" s="4"/>
      <c r="D5" s="4"/>
      <c r="G5" s="66" t="s">
        <v>17</v>
      </c>
      <c r="H5" s="66"/>
      <c r="I5" s="66"/>
      <c r="J5" s="66"/>
      <c r="K5" s="66"/>
      <c r="L5" s="66"/>
      <c r="M5" s="66"/>
    </row>
    <row r="6" spans="1:18" s="1" customFormat="1" ht="27" customHeight="1">
      <c r="C6" s="4"/>
      <c r="D6" s="4"/>
      <c r="G6" s="66" t="s">
        <v>31</v>
      </c>
      <c r="H6" s="66"/>
      <c r="I6" s="66"/>
      <c r="J6" s="66"/>
      <c r="K6" s="66"/>
      <c r="L6" s="66"/>
      <c r="M6" s="66"/>
    </row>
    <row r="7" spans="1:18" s="1" customFormat="1" ht="27" customHeight="1">
      <c r="C7" s="4"/>
      <c r="D7" s="4"/>
      <c r="G7" s="66" t="s">
        <v>18</v>
      </c>
      <c r="H7" s="66"/>
      <c r="I7" s="66"/>
      <c r="J7" s="66"/>
      <c r="K7" s="66"/>
      <c r="L7" s="66"/>
      <c r="M7" s="66"/>
    </row>
    <row r="8" spans="1:18" s="1" customFormat="1" ht="27" customHeight="1">
      <c r="C8" s="4"/>
      <c r="D8" s="4"/>
      <c r="G8" s="66" t="s">
        <v>32</v>
      </c>
      <c r="H8" s="66"/>
      <c r="I8" s="66"/>
      <c r="J8" s="66"/>
      <c r="K8" s="66"/>
      <c r="L8" s="66"/>
      <c r="M8" s="66"/>
    </row>
    <row r="9" spans="1:18" s="1" customFormat="1" ht="15.75">
      <c r="C9" s="4"/>
      <c r="D9" s="4"/>
      <c r="M9" s="2"/>
    </row>
    <row r="10" spans="1:18" s="1" customFormat="1" ht="27.75" customHeight="1">
      <c r="A10" s="70" t="s">
        <v>4</v>
      </c>
      <c r="B10" s="71" t="s">
        <v>5</v>
      </c>
      <c r="C10" s="6" t="s">
        <v>6</v>
      </c>
      <c r="D10" s="67" t="s">
        <v>8</v>
      </c>
      <c r="E10" s="68"/>
      <c r="F10" s="69"/>
      <c r="G10" s="71" t="s">
        <v>23</v>
      </c>
      <c r="H10" s="71"/>
      <c r="I10" s="71" t="s">
        <v>25</v>
      </c>
      <c r="J10" s="71"/>
      <c r="K10" s="71" t="s">
        <v>26</v>
      </c>
      <c r="L10" s="71"/>
      <c r="M10" s="71" t="s">
        <v>27</v>
      </c>
      <c r="N10" s="71"/>
      <c r="O10" s="71" t="s">
        <v>28</v>
      </c>
      <c r="P10" s="71"/>
      <c r="Q10" s="71" t="s">
        <v>12</v>
      </c>
      <c r="R10" s="71"/>
    </row>
    <row r="11" spans="1:18" s="1" customFormat="1" ht="27.75">
      <c r="A11" s="70"/>
      <c r="B11" s="71"/>
      <c r="C11" s="6" t="s">
        <v>7</v>
      </c>
      <c r="D11" s="6" t="s">
        <v>9</v>
      </c>
      <c r="E11" s="6" t="s">
        <v>10</v>
      </c>
      <c r="F11" s="6" t="s">
        <v>11</v>
      </c>
      <c r="G11" s="7" t="s">
        <v>9</v>
      </c>
      <c r="H11" s="7" t="s">
        <v>13</v>
      </c>
      <c r="I11" s="7" t="s">
        <v>9</v>
      </c>
      <c r="J11" s="7" t="s">
        <v>13</v>
      </c>
      <c r="K11" s="7" t="s">
        <v>9</v>
      </c>
      <c r="L11" s="7" t="s">
        <v>13</v>
      </c>
      <c r="M11" s="7" t="s">
        <v>9</v>
      </c>
      <c r="N11" s="7" t="s">
        <v>13</v>
      </c>
      <c r="O11" s="7" t="s">
        <v>9</v>
      </c>
      <c r="P11" s="7" t="s">
        <v>13</v>
      </c>
      <c r="Q11" s="7" t="s">
        <v>9</v>
      </c>
      <c r="R11" s="7" t="s">
        <v>13</v>
      </c>
    </row>
    <row r="12" spans="1:18" s="14" customFormat="1" ht="22.5" customHeight="1">
      <c r="A12" s="11" t="s">
        <v>0</v>
      </c>
      <c r="B12" s="12"/>
      <c r="C12" s="12"/>
      <c r="D12" s="12"/>
      <c r="E12" s="13"/>
      <c r="F12" s="13"/>
      <c r="M12" s="15"/>
    </row>
    <row r="13" spans="1:18" s="17" customFormat="1" ht="30" customHeight="1">
      <c r="A13" s="16">
        <v>1</v>
      </c>
      <c r="B13" s="17" t="s">
        <v>33</v>
      </c>
      <c r="C13" s="18" t="s">
        <v>123</v>
      </c>
      <c r="D13" s="18">
        <v>400</v>
      </c>
      <c r="E13" s="19">
        <v>350</v>
      </c>
      <c r="F13" s="19">
        <f>E13*D13</f>
        <v>140000</v>
      </c>
      <c r="G13" s="20"/>
      <c r="H13" s="20">
        <f t="shared" ref="H13:H18" si="0">G13*E13</f>
        <v>0</v>
      </c>
      <c r="I13" s="20"/>
      <c r="J13" s="20">
        <f t="shared" ref="J13:J18" si="1">I13*E13</f>
        <v>0</v>
      </c>
      <c r="L13" s="21">
        <f t="shared" ref="L13:L18" si="2">K13*E13</f>
        <v>0</v>
      </c>
      <c r="M13" s="22"/>
      <c r="N13" s="21">
        <f t="shared" ref="N13:N18" si="3">M13*E13</f>
        <v>0</v>
      </c>
      <c r="O13" s="21"/>
      <c r="P13" s="21"/>
      <c r="Q13" s="20">
        <f t="shared" ref="Q13:Q17" si="4">D13-G13-I13-K13-M13</f>
        <v>400</v>
      </c>
      <c r="R13" s="21">
        <f t="shared" ref="R13:R18" si="5">Q13*E13</f>
        <v>140000</v>
      </c>
    </row>
    <row r="14" spans="1:18" s="17" customFormat="1" ht="30" customHeight="1">
      <c r="A14" s="16">
        <f>A13+1</f>
        <v>2</v>
      </c>
      <c r="B14" s="17" t="s">
        <v>34</v>
      </c>
      <c r="C14" s="18" t="s">
        <v>123</v>
      </c>
      <c r="D14" s="18">
        <v>400</v>
      </c>
      <c r="E14" s="19">
        <v>500</v>
      </c>
      <c r="F14" s="19">
        <f t="shared" ref="F14:F79" si="6">E14*D14</f>
        <v>200000</v>
      </c>
      <c r="G14" s="20"/>
      <c r="H14" s="20">
        <f t="shared" si="0"/>
        <v>0</v>
      </c>
      <c r="I14" s="20"/>
      <c r="J14" s="20">
        <f t="shared" si="1"/>
        <v>0</v>
      </c>
      <c r="L14" s="21">
        <f t="shared" si="2"/>
        <v>0</v>
      </c>
      <c r="M14" s="22"/>
      <c r="N14" s="21">
        <f t="shared" si="3"/>
        <v>0</v>
      </c>
      <c r="O14" s="21"/>
      <c r="P14" s="21"/>
      <c r="Q14" s="20">
        <f t="shared" si="4"/>
        <v>400</v>
      </c>
      <c r="R14" s="21">
        <f t="shared" si="5"/>
        <v>200000</v>
      </c>
    </row>
    <row r="15" spans="1:18" s="17" customFormat="1" ht="30" customHeight="1">
      <c r="A15" s="16">
        <f>A14+1</f>
        <v>3</v>
      </c>
      <c r="B15" s="17" t="s">
        <v>35</v>
      </c>
      <c r="C15" s="18" t="s">
        <v>123</v>
      </c>
      <c r="D15" s="18">
        <v>350</v>
      </c>
      <c r="E15" s="19">
        <v>600</v>
      </c>
      <c r="F15" s="19">
        <f t="shared" si="6"/>
        <v>210000</v>
      </c>
      <c r="G15" s="20"/>
      <c r="H15" s="20">
        <f t="shared" si="0"/>
        <v>0</v>
      </c>
      <c r="I15" s="20"/>
      <c r="J15" s="20">
        <f t="shared" si="1"/>
        <v>0</v>
      </c>
      <c r="L15" s="21">
        <f t="shared" si="2"/>
        <v>0</v>
      </c>
      <c r="M15" s="22"/>
      <c r="N15" s="21">
        <f t="shared" si="3"/>
        <v>0</v>
      </c>
      <c r="O15" s="21"/>
      <c r="P15" s="21"/>
      <c r="Q15" s="20">
        <f t="shared" si="4"/>
        <v>350</v>
      </c>
      <c r="R15" s="21">
        <f t="shared" si="5"/>
        <v>210000</v>
      </c>
    </row>
    <row r="16" spans="1:18" s="17" customFormat="1" ht="30" customHeight="1">
      <c r="A16" s="16">
        <f t="shared" ref="A16:A79" si="7">A15+1</f>
        <v>4</v>
      </c>
      <c r="B16" s="17" t="s">
        <v>36</v>
      </c>
      <c r="C16" s="18" t="s">
        <v>123</v>
      </c>
      <c r="D16" s="18">
        <v>65</v>
      </c>
      <c r="E16" s="19">
        <v>850</v>
      </c>
      <c r="F16" s="19">
        <f t="shared" si="6"/>
        <v>55250</v>
      </c>
      <c r="G16" s="20"/>
      <c r="H16" s="20">
        <f t="shared" si="0"/>
        <v>0</v>
      </c>
      <c r="I16" s="20"/>
      <c r="J16" s="20">
        <f t="shared" si="1"/>
        <v>0</v>
      </c>
      <c r="L16" s="21">
        <f t="shared" si="2"/>
        <v>0</v>
      </c>
      <c r="M16" s="22"/>
      <c r="N16" s="21">
        <f t="shared" si="3"/>
        <v>0</v>
      </c>
      <c r="O16" s="21"/>
      <c r="P16" s="21"/>
      <c r="Q16" s="20">
        <f t="shared" si="4"/>
        <v>65</v>
      </c>
      <c r="R16" s="21">
        <f t="shared" si="5"/>
        <v>55250</v>
      </c>
    </row>
    <row r="17" spans="1:18" s="17" customFormat="1" ht="30" customHeight="1">
      <c r="A17" s="16">
        <f t="shared" si="7"/>
        <v>5</v>
      </c>
      <c r="B17" s="17" t="s">
        <v>37</v>
      </c>
      <c r="C17" s="18" t="s">
        <v>123</v>
      </c>
      <c r="D17" s="18">
        <v>80</v>
      </c>
      <c r="E17" s="19">
        <v>2100</v>
      </c>
      <c r="F17" s="19">
        <f t="shared" si="6"/>
        <v>168000</v>
      </c>
      <c r="G17" s="20"/>
      <c r="H17" s="20">
        <f t="shared" si="0"/>
        <v>0</v>
      </c>
      <c r="I17" s="20"/>
      <c r="J17" s="20">
        <f t="shared" si="1"/>
        <v>0</v>
      </c>
      <c r="L17" s="21">
        <f t="shared" si="2"/>
        <v>0</v>
      </c>
      <c r="M17" s="22"/>
      <c r="N17" s="21">
        <f t="shared" si="3"/>
        <v>0</v>
      </c>
      <c r="O17" s="21"/>
      <c r="P17" s="21"/>
      <c r="Q17" s="20">
        <f t="shared" si="4"/>
        <v>80</v>
      </c>
      <c r="R17" s="21">
        <f t="shared" si="5"/>
        <v>168000</v>
      </c>
    </row>
    <row r="18" spans="1:18" s="17" customFormat="1" ht="30" customHeight="1">
      <c r="A18" s="16">
        <f t="shared" si="7"/>
        <v>6</v>
      </c>
      <c r="B18" s="17" t="s">
        <v>38</v>
      </c>
      <c r="C18" s="18" t="s">
        <v>123</v>
      </c>
      <c r="D18" s="18">
        <v>30</v>
      </c>
      <c r="E18" s="23">
        <v>1300</v>
      </c>
      <c r="F18" s="19">
        <f t="shared" si="6"/>
        <v>39000</v>
      </c>
      <c r="G18" s="20"/>
      <c r="H18" s="20">
        <f t="shared" si="0"/>
        <v>0</v>
      </c>
      <c r="I18" s="20"/>
      <c r="J18" s="20">
        <f t="shared" si="1"/>
        <v>0</v>
      </c>
      <c r="L18" s="21">
        <f t="shared" si="2"/>
        <v>0</v>
      </c>
      <c r="M18" s="24"/>
      <c r="N18" s="21">
        <f t="shared" si="3"/>
        <v>0</v>
      </c>
      <c r="O18" s="21"/>
      <c r="P18" s="21"/>
      <c r="Q18" s="20">
        <f>D18-G18-I18-K18-M18-O18</f>
        <v>30</v>
      </c>
      <c r="R18" s="21">
        <f t="shared" si="5"/>
        <v>39000</v>
      </c>
    </row>
    <row r="19" spans="1:18" s="17" customFormat="1" ht="30" customHeight="1">
      <c r="A19" s="16">
        <f t="shared" si="7"/>
        <v>7</v>
      </c>
      <c r="B19" s="17" t="s">
        <v>39</v>
      </c>
      <c r="C19" s="18" t="s">
        <v>123</v>
      </c>
      <c r="D19" s="18">
        <v>50</v>
      </c>
      <c r="E19" s="23">
        <v>1560</v>
      </c>
      <c r="F19" s="19">
        <f t="shared" si="6"/>
        <v>78000</v>
      </c>
      <c r="G19" s="20"/>
      <c r="H19" s="20">
        <f t="shared" ref="H19:H82" si="8">G19*E19</f>
        <v>0</v>
      </c>
      <c r="I19" s="20"/>
      <c r="J19" s="20">
        <f t="shared" ref="J19:J82" si="9">I19*E19</f>
        <v>0</v>
      </c>
      <c r="L19" s="21">
        <f t="shared" ref="L19:L82" si="10">K19*E19</f>
        <v>0</v>
      </c>
      <c r="M19" s="24"/>
      <c r="N19" s="21">
        <f t="shared" ref="N19:N82" si="11">M19*E19</f>
        <v>0</v>
      </c>
      <c r="O19" s="21"/>
      <c r="P19" s="21"/>
      <c r="Q19" s="20">
        <f t="shared" ref="Q19:Q82" si="12">D19-G19-I19-K19-M19-O19</f>
        <v>50</v>
      </c>
      <c r="R19" s="21">
        <f t="shared" ref="R19:R82" si="13">Q19*E19</f>
        <v>78000</v>
      </c>
    </row>
    <row r="20" spans="1:18" s="17" customFormat="1" ht="30" customHeight="1">
      <c r="A20" s="16">
        <f t="shared" si="7"/>
        <v>8</v>
      </c>
      <c r="B20" s="17" t="s">
        <v>40</v>
      </c>
      <c r="C20" s="18" t="s">
        <v>123</v>
      </c>
      <c r="D20" s="18">
        <v>50</v>
      </c>
      <c r="E20" s="23">
        <v>1580</v>
      </c>
      <c r="F20" s="19">
        <f t="shared" si="6"/>
        <v>79000</v>
      </c>
      <c r="G20" s="20"/>
      <c r="H20" s="20">
        <f t="shared" si="8"/>
        <v>0</v>
      </c>
      <c r="I20" s="20"/>
      <c r="J20" s="20">
        <f t="shared" si="9"/>
        <v>0</v>
      </c>
      <c r="L20" s="21">
        <f t="shared" si="10"/>
        <v>0</v>
      </c>
      <c r="M20" s="24"/>
      <c r="N20" s="21">
        <f t="shared" si="11"/>
        <v>0</v>
      </c>
      <c r="O20" s="21"/>
      <c r="P20" s="21"/>
      <c r="Q20" s="20">
        <f t="shared" si="12"/>
        <v>50</v>
      </c>
      <c r="R20" s="21">
        <f t="shared" si="13"/>
        <v>79000</v>
      </c>
    </row>
    <row r="21" spans="1:18" s="17" customFormat="1" ht="30" customHeight="1">
      <c r="A21" s="16">
        <f t="shared" si="7"/>
        <v>9</v>
      </c>
      <c r="B21" s="17" t="s">
        <v>41</v>
      </c>
      <c r="C21" s="18" t="s">
        <v>123</v>
      </c>
      <c r="D21" s="18">
        <v>50</v>
      </c>
      <c r="E21" s="23">
        <v>6200</v>
      </c>
      <c r="F21" s="19">
        <f t="shared" si="6"/>
        <v>310000</v>
      </c>
      <c r="G21" s="20"/>
      <c r="H21" s="20">
        <f t="shared" si="8"/>
        <v>0</v>
      </c>
      <c r="I21" s="20"/>
      <c r="J21" s="20">
        <f t="shared" si="9"/>
        <v>0</v>
      </c>
      <c r="L21" s="21">
        <f t="shared" si="10"/>
        <v>0</v>
      </c>
      <c r="M21" s="24"/>
      <c r="N21" s="21">
        <f t="shared" si="11"/>
        <v>0</v>
      </c>
      <c r="O21" s="21"/>
      <c r="P21" s="21"/>
      <c r="Q21" s="20">
        <f t="shared" si="12"/>
        <v>50</v>
      </c>
      <c r="R21" s="21">
        <f t="shared" si="13"/>
        <v>310000</v>
      </c>
    </row>
    <row r="22" spans="1:18" s="17" customFormat="1" ht="30" customHeight="1">
      <c r="A22" s="16">
        <f t="shared" si="7"/>
        <v>10</v>
      </c>
      <c r="B22" s="17" t="s">
        <v>42</v>
      </c>
      <c r="C22" s="18" t="s">
        <v>123</v>
      </c>
      <c r="D22" s="18">
        <v>20</v>
      </c>
      <c r="E22" s="23">
        <v>950</v>
      </c>
      <c r="F22" s="19">
        <f t="shared" si="6"/>
        <v>19000</v>
      </c>
      <c r="G22" s="20"/>
      <c r="H22" s="20">
        <f t="shared" si="8"/>
        <v>0</v>
      </c>
      <c r="I22" s="20"/>
      <c r="J22" s="20">
        <f t="shared" si="9"/>
        <v>0</v>
      </c>
      <c r="L22" s="21">
        <f t="shared" si="10"/>
        <v>0</v>
      </c>
      <c r="M22" s="24"/>
      <c r="N22" s="21">
        <f t="shared" si="11"/>
        <v>0</v>
      </c>
      <c r="O22" s="21"/>
      <c r="P22" s="21"/>
      <c r="Q22" s="20">
        <f t="shared" si="12"/>
        <v>20</v>
      </c>
      <c r="R22" s="21">
        <f t="shared" si="13"/>
        <v>19000</v>
      </c>
    </row>
    <row r="23" spans="1:18" s="17" customFormat="1" ht="30" customHeight="1">
      <c r="A23" s="16">
        <f t="shared" si="7"/>
        <v>11</v>
      </c>
      <c r="B23" s="17" t="s">
        <v>43</v>
      </c>
      <c r="C23" s="18" t="s">
        <v>123</v>
      </c>
      <c r="D23" s="18">
        <v>20</v>
      </c>
      <c r="E23" s="23">
        <v>1000</v>
      </c>
      <c r="F23" s="19">
        <f t="shared" si="6"/>
        <v>20000</v>
      </c>
      <c r="G23" s="20"/>
      <c r="H23" s="20">
        <f t="shared" si="8"/>
        <v>0</v>
      </c>
      <c r="I23" s="20"/>
      <c r="J23" s="20">
        <f t="shared" si="9"/>
        <v>0</v>
      </c>
      <c r="L23" s="21">
        <f t="shared" si="10"/>
        <v>0</v>
      </c>
      <c r="M23" s="24"/>
      <c r="N23" s="21">
        <f t="shared" si="11"/>
        <v>0</v>
      </c>
      <c r="O23" s="21"/>
      <c r="P23" s="21"/>
      <c r="Q23" s="20">
        <f t="shared" si="12"/>
        <v>20</v>
      </c>
      <c r="R23" s="21">
        <f t="shared" si="13"/>
        <v>20000</v>
      </c>
    </row>
    <row r="24" spans="1:18" s="17" customFormat="1" ht="30" customHeight="1">
      <c r="A24" s="16">
        <f t="shared" si="7"/>
        <v>12</v>
      </c>
      <c r="B24" s="17" t="s">
        <v>44</v>
      </c>
      <c r="C24" s="18" t="s">
        <v>123</v>
      </c>
      <c r="D24" s="18">
        <v>10</v>
      </c>
      <c r="E24" s="23">
        <v>6100</v>
      </c>
      <c r="F24" s="19">
        <f t="shared" si="6"/>
        <v>61000</v>
      </c>
      <c r="G24" s="20"/>
      <c r="H24" s="20">
        <f t="shared" si="8"/>
        <v>0</v>
      </c>
      <c r="I24" s="20"/>
      <c r="J24" s="20">
        <f t="shared" si="9"/>
        <v>0</v>
      </c>
      <c r="L24" s="21">
        <f t="shared" si="10"/>
        <v>0</v>
      </c>
      <c r="M24" s="24"/>
      <c r="N24" s="21">
        <f t="shared" si="11"/>
        <v>0</v>
      </c>
      <c r="O24" s="21"/>
      <c r="P24" s="21"/>
      <c r="Q24" s="20">
        <f t="shared" si="12"/>
        <v>10</v>
      </c>
      <c r="R24" s="21">
        <f t="shared" si="13"/>
        <v>61000</v>
      </c>
    </row>
    <row r="25" spans="1:18" s="17" customFormat="1" ht="30" customHeight="1">
      <c r="A25" s="16">
        <f t="shared" si="7"/>
        <v>13</v>
      </c>
      <c r="B25" s="17" t="s">
        <v>45</v>
      </c>
      <c r="C25" s="18" t="s">
        <v>123</v>
      </c>
      <c r="D25" s="18">
        <v>10</v>
      </c>
      <c r="E25" s="23">
        <v>4420</v>
      </c>
      <c r="F25" s="19">
        <f t="shared" si="6"/>
        <v>44200</v>
      </c>
      <c r="G25" s="20"/>
      <c r="H25" s="20">
        <f t="shared" si="8"/>
        <v>0</v>
      </c>
      <c r="I25" s="20"/>
      <c r="J25" s="20">
        <f t="shared" si="9"/>
        <v>0</v>
      </c>
      <c r="L25" s="21">
        <f t="shared" si="10"/>
        <v>0</v>
      </c>
      <c r="M25" s="24"/>
      <c r="N25" s="21">
        <f t="shared" si="11"/>
        <v>0</v>
      </c>
      <c r="O25" s="21"/>
      <c r="P25" s="21"/>
      <c r="Q25" s="20">
        <f t="shared" si="12"/>
        <v>10</v>
      </c>
      <c r="R25" s="21">
        <f t="shared" si="13"/>
        <v>44200</v>
      </c>
    </row>
    <row r="26" spans="1:18" s="17" customFormat="1" ht="30" customHeight="1">
      <c r="A26" s="16">
        <f t="shared" si="7"/>
        <v>14</v>
      </c>
      <c r="B26" s="17" t="s">
        <v>46</v>
      </c>
      <c r="C26" s="18" t="s">
        <v>123</v>
      </c>
      <c r="D26" s="18">
        <v>35</v>
      </c>
      <c r="E26" s="23">
        <v>1000</v>
      </c>
      <c r="F26" s="19">
        <f t="shared" si="6"/>
        <v>35000</v>
      </c>
      <c r="G26" s="20"/>
      <c r="H26" s="20">
        <f t="shared" si="8"/>
        <v>0</v>
      </c>
      <c r="I26" s="20"/>
      <c r="J26" s="20">
        <f t="shared" si="9"/>
        <v>0</v>
      </c>
      <c r="L26" s="21">
        <f t="shared" si="10"/>
        <v>0</v>
      </c>
      <c r="M26" s="24"/>
      <c r="N26" s="21">
        <f t="shared" si="11"/>
        <v>0</v>
      </c>
      <c r="O26" s="21"/>
      <c r="P26" s="21"/>
      <c r="Q26" s="20">
        <f t="shared" si="12"/>
        <v>35</v>
      </c>
      <c r="R26" s="21">
        <f t="shared" si="13"/>
        <v>35000</v>
      </c>
    </row>
    <row r="27" spans="1:18" s="17" customFormat="1" ht="30" customHeight="1">
      <c r="A27" s="16">
        <f t="shared" si="7"/>
        <v>15</v>
      </c>
      <c r="B27" s="17" t="s">
        <v>47</v>
      </c>
      <c r="C27" s="18" t="s">
        <v>123</v>
      </c>
      <c r="D27" s="18">
        <v>10</v>
      </c>
      <c r="E27" s="23">
        <v>1600</v>
      </c>
      <c r="F27" s="19">
        <f t="shared" si="6"/>
        <v>16000</v>
      </c>
      <c r="G27" s="20"/>
      <c r="H27" s="20">
        <f t="shared" si="8"/>
        <v>0</v>
      </c>
      <c r="I27" s="20"/>
      <c r="J27" s="20">
        <f t="shared" si="9"/>
        <v>0</v>
      </c>
      <c r="L27" s="21">
        <f t="shared" si="10"/>
        <v>0</v>
      </c>
      <c r="M27" s="24"/>
      <c r="N27" s="21">
        <f t="shared" si="11"/>
        <v>0</v>
      </c>
      <c r="O27" s="21"/>
      <c r="P27" s="21"/>
      <c r="Q27" s="20">
        <f t="shared" si="12"/>
        <v>10</v>
      </c>
      <c r="R27" s="21">
        <f t="shared" si="13"/>
        <v>16000</v>
      </c>
    </row>
    <row r="28" spans="1:18" s="17" customFormat="1" ht="30" customHeight="1">
      <c r="A28" s="16">
        <f t="shared" si="7"/>
        <v>16</v>
      </c>
      <c r="B28" s="17" t="s">
        <v>48</v>
      </c>
      <c r="C28" s="18" t="s">
        <v>123</v>
      </c>
      <c r="D28" s="18">
        <v>4</v>
      </c>
      <c r="E28" s="23">
        <v>35000</v>
      </c>
      <c r="F28" s="19">
        <f t="shared" si="6"/>
        <v>140000</v>
      </c>
      <c r="G28" s="20"/>
      <c r="H28" s="20">
        <f t="shared" si="8"/>
        <v>0</v>
      </c>
      <c r="I28" s="20"/>
      <c r="J28" s="20">
        <f t="shared" si="9"/>
        <v>0</v>
      </c>
      <c r="L28" s="21">
        <f t="shared" si="10"/>
        <v>0</v>
      </c>
      <c r="M28" s="24"/>
      <c r="N28" s="21">
        <f t="shared" si="11"/>
        <v>0</v>
      </c>
      <c r="O28" s="21"/>
      <c r="P28" s="21"/>
      <c r="Q28" s="20">
        <f t="shared" si="12"/>
        <v>4</v>
      </c>
      <c r="R28" s="21">
        <f t="shared" si="13"/>
        <v>140000</v>
      </c>
    </row>
    <row r="29" spans="1:18" s="17" customFormat="1" ht="30" customHeight="1">
      <c r="A29" s="16">
        <f t="shared" si="7"/>
        <v>17</v>
      </c>
      <c r="B29" s="17" t="s">
        <v>49</v>
      </c>
      <c r="C29" s="18" t="s">
        <v>123</v>
      </c>
      <c r="D29" s="18">
        <v>2</v>
      </c>
      <c r="E29" s="23">
        <v>45000</v>
      </c>
      <c r="F29" s="19">
        <f t="shared" si="6"/>
        <v>90000</v>
      </c>
      <c r="G29" s="20"/>
      <c r="H29" s="20">
        <f t="shared" si="8"/>
        <v>0</v>
      </c>
      <c r="I29" s="20"/>
      <c r="J29" s="20">
        <f t="shared" si="9"/>
        <v>0</v>
      </c>
      <c r="L29" s="21">
        <f t="shared" si="10"/>
        <v>0</v>
      </c>
      <c r="M29" s="24"/>
      <c r="N29" s="21">
        <f t="shared" si="11"/>
        <v>0</v>
      </c>
      <c r="O29" s="21"/>
      <c r="P29" s="21"/>
      <c r="Q29" s="20">
        <f t="shared" si="12"/>
        <v>2</v>
      </c>
      <c r="R29" s="21">
        <f t="shared" si="13"/>
        <v>90000</v>
      </c>
    </row>
    <row r="30" spans="1:18" s="17" customFormat="1" ht="30" customHeight="1">
      <c r="A30" s="16">
        <f t="shared" si="7"/>
        <v>18</v>
      </c>
      <c r="B30" s="17" t="s">
        <v>50</v>
      </c>
      <c r="C30" s="18" t="s">
        <v>123</v>
      </c>
      <c r="D30" s="18">
        <v>4</v>
      </c>
      <c r="E30" s="23">
        <v>12000</v>
      </c>
      <c r="F30" s="19">
        <f t="shared" si="6"/>
        <v>48000</v>
      </c>
      <c r="G30" s="20"/>
      <c r="H30" s="20">
        <f t="shared" si="8"/>
        <v>0</v>
      </c>
      <c r="I30" s="20"/>
      <c r="J30" s="20">
        <f t="shared" si="9"/>
        <v>0</v>
      </c>
      <c r="L30" s="21">
        <f t="shared" si="10"/>
        <v>0</v>
      </c>
      <c r="M30" s="24"/>
      <c r="N30" s="21">
        <f t="shared" si="11"/>
        <v>0</v>
      </c>
      <c r="O30" s="21"/>
      <c r="P30" s="21"/>
      <c r="Q30" s="20">
        <f t="shared" si="12"/>
        <v>4</v>
      </c>
      <c r="R30" s="21">
        <f t="shared" si="13"/>
        <v>48000</v>
      </c>
    </row>
    <row r="31" spans="1:18" s="17" customFormat="1" ht="30" customHeight="1">
      <c r="A31" s="16">
        <f t="shared" si="7"/>
        <v>19</v>
      </c>
      <c r="B31" s="17" t="s">
        <v>51</v>
      </c>
      <c r="C31" s="18" t="s">
        <v>123</v>
      </c>
      <c r="D31" s="18">
        <v>5</v>
      </c>
      <c r="E31" s="23">
        <v>450</v>
      </c>
      <c r="F31" s="19">
        <f t="shared" si="6"/>
        <v>2250</v>
      </c>
      <c r="G31" s="20"/>
      <c r="H31" s="20">
        <f t="shared" si="8"/>
        <v>0</v>
      </c>
      <c r="I31" s="20"/>
      <c r="J31" s="20">
        <f t="shared" si="9"/>
        <v>0</v>
      </c>
      <c r="L31" s="21">
        <f t="shared" si="10"/>
        <v>0</v>
      </c>
      <c r="M31" s="24"/>
      <c r="N31" s="21">
        <f t="shared" si="11"/>
        <v>0</v>
      </c>
      <c r="O31" s="21"/>
      <c r="P31" s="21"/>
      <c r="Q31" s="20">
        <f t="shared" si="12"/>
        <v>5</v>
      </c>
      <c r="R31" s="21">
        <f t="shared" si="13"/>
        <v>2250</v>
      </c>
    </row>
    <row r="32" spans="1:18" s="17" customFormat="1" ht="30" customHeight="1">
      <c r="A32" s="16">
        <f t="shared" si="7"/>
        <v>20</v>
      </c>
      <c r="B32" s="17" t="s">
        <v>52</v>
      </c>
      <c r="C32" s="18" t="s">
        <v>123</v>
      </c>
      <c r="D32" s="18">
        <v>8</v>
      </c>
      <c r="E32" s="23">
        <v>1280</v>
      </c>
      <c r="F32" s="19">
        <f t="shared" si="6"/>
        <v>10240</v>
      </c>
      <c r="G32" s="20"/>
      <c r="H32" s="20">
        <f t="shared" si="8"/>
        <v>0</v>
      </c>
      <c r="I32" s="20"/>
      <c r="J32" s="20">
        <f t="shared" si="9"/>
        <v>0</v>
      </c>
      <c r="L32" s="21">
        <f t="shared" si="10"/>
        <v>0</v>
      </c>
      <c r="M32" s="24"/>
      <c r="N32" s="21">
        <f t="shared" si="11"/>
        <v>0</v>
      </c>
      <c r="O32" s="21"/>
      <c r="P32" s="21"/>
      <c r="Q32" s="20">
        <f t="shared" si="12"/>
        <v>8</v>
      </c>
      <c r="R32" s="21">
        <f t="shared" si="13"/>
        <v>10240</v>
      </c>
    </row>
    <row r="33" spans="1:18" s="17" customFormat="1" ht="30" customHeight="1">
      <c r="A33" s="16">
        <f t="shared" si="7"/>
        <v>21</v>
      </c>
      <c r="B33" s="17" t="s">
        <v>53</v>
      </c>
      <c r="C33" s="18" t="s">
        <v>123</v>
      </c>
      <c r="D33" s="18">
        <v>20</v>
      </c>
      <c r="E33" s="23">
        <v>500</v>
      </c>
      <c r="F33" s="19">
        <f t="shared" si="6"/>
        <v>10000</v>
      </c>
      <c r="G33" s="20"/>
      <c r="H33" s="20">
        <f t="shared" si="8"/>
        <v>0</v>
      </c>
      <c r="I33" s="20"/>
      <c r="J33" s="20">
        <f t="shared" si="9"/>
        <v>0</v>
      </c>
      <c r="L33" s="21">
        <f t="shared" si="10"/>
        <v>0</v>
      </c>
      <c r="M33" s="24"/>
      <c r="N33" s="21">
        <f t="shared" si="11"/>
        <v>0</v>
      </c>
      <c r="O33" s="21"/>
      <c r="P33" s="21"/>
      <c r="Q33" s="20">
        <f t="shared" si="12"/>
        <v>20</v>
      </c>
      <c r="R33" s="21">
        <f t="shared" si="13"/>
        <v>10000</v>
      </c>
    </row>
    <row r="34" spans="1:18" s="17" customFormat="1" ht="30" customHeight="1">
      <c r="A34" s="16">
        <f t="shared" si="7"/>
        <v>22</v>
      </c>
      <c r="B34" s="17" t="s">
        <v>54</v>
      </c>
      <c r="C34" s="18" t="s">
        <v>123</v>
      </c>
      <c r="D34" s="18">
        <v>4</v>
      </c>
      <c r="E34" s="23">
        <v>2300</v>
      </c>
      <c r="F34" s="19">
        <f t="shared" si="6"/>
        <v>9200</v>
      </c>
      <c r="G34" s="20"/>
      <c r="H34" s="20">
        <f t="shared" si="8"/>
        <v>0</v>
      </c>
      <c r="I34" s="20"/>
      <c r="J34" s="20">
        <f t="shared" si="9"/>
        <v>0</v>
      </c>
      <c r="L34" s="21">
        <f t="shared" si="10"/>
        <v>0</v>
      </c>
      <c r="M34" s="24"/>
      <c r="N34" s="21">
        <f t="shared" si="11"/>
        <v>0</v>
      </c>
      <c r="O34" s="21"/>
      <c r="P34" s="21"/>
      <c r="Q34" s="20">
        <f t="shared" si="12"/>
        <v>4</v>
      </c>
      <c r="R34" s="21">
        <f t="shared" si="13"/>
        <v>9200</v>
      </c>
    </row>
    <row r="35" spans="1:18" s="17" customFormat="1" ht="30" customHeight="1">
      <c r="A35" s="16">
        <f t="shared" si="7"/>
        <v>23</v>
      </c>
      <c r="B35" s="17" t="s">
        <v>55</v>
      </c>
      <c r="C35" s="18" t="s">
        <v>123</v>
      </c>
      <c r="D35" s="18">
        <v>4</v>
      </c>
      <c r="E35" s="23">
        <v>1200</v>
      </c>
      <c r="F35" s="19">
        <f t="shared" si="6"/>
        <v>4800</v>
      </c>
      <c r="G35" s="20"/>
      <c r="H35" s="20">
        <f t="shared" si="8"/>
        <v>0</v>
      </c>
      <c r="I35" s="20"/>
      <c r="J35" s="20">
        <f t="shared" si="9"/>
        <v>0</v>
      </c>
      <c r="L35" s="21">
        <f t="shared" si="10"/>
        <v>0</v>
      </c>
      <c r="M35" s="24"/>
      <c r="N35" s="21">
        <f t="shared" si="11"/>
        <v>0</v>
      </c>
      <c r="O35" s="21"/>
      <c r="P35" s="21"/>
      <c r="Q35" s="20">
        <f t="shared" si="12"/>
        <v>4</v>
      </c>
      <c r="R35" s="21">
        <f t="shared" si="13"/>
        <v>4800</v>
      </c>
    </row>
    <row r="36" spans="1:18" s="17" customFormat="1" ht="30" customHeight="1">
      <c r="A36" s="16">
        <f t="shared" si="7"/>
        <v>24</v>
      </c>
      <c r="B36" s="17" t="s">
        <v>56</v>
      </c>
      <c r="C36" s="18" t="s">
        <v>123</v>
      </c>
      <c r="D36" s="18">
        <v>10</v>
      </c>
      <c r="E36" s="23">
        <v>1200</v>
      </c>
      <c r="F36" s="19">
        <f t="shared" si="6"/>
        <v>12000</v>
      </c>
      <c r="G36" s="20"/>
      <c r="H36" s="20">
        <f t="shared" si="8"/>
        <v>0</v>
      </c>
      <c r="I36" s="20"/>
      <c r="J36" s="20">
        <f t="shared" si="9"/>
        <v>0</v>
      </c>
      <c r="L36" s="21">
        <f t="shared" si="10"/>
        <v>0</v>
      </c>
      <c r="M36" s="24"/>
      <c r="N36" s="21">
        <f t="shared" si="11"/>
        <v>0</v>
      </c>
      <c r="O36" s="21"/>
      <c r="P36" s="21"/>
      <c r="Q36" s="20">
        <f t="shared" si="12"/>
        <v>10</v>
      </c>
      <c r="R36" s="21">
        <f t="shared" si="13"/>
        <v>12000</v>
      </c>
    </row>
    <row r="37" spans="1:18" s="17" customFormat="1" ht="30" customHeight="1">
      <c r="A37" s="16">
        <f t="shared" si="7"/>
        <v>25</v>
      </c>
      <c r="B37" s="17" t="s">
        <v>57</v>
      </c>
      <c r="C37" s="18" t="s">
        <v>123</v>
      </c>
      <c r="D37" s="18">
        <v>2</v>
      </c>
      <c r="E37" s="23">
        <v>1700</v>
      </c>
      <c r="F37" s="19">
        <f t="shared" si="6"/>
        <v>3400</v>
      </c>
      <c r="G37" s="20"/>
      <c r="H37" s="20">
        <f t="shared" si="8"/>
        <v>0</v>
      </c>
      <c r="I37" s="20"/>
      <c r="J37" s="20">
        <f t="shared" si="9"/>
        <v>0</v>
      </c>
      <c r="L37" s="21">
        <f t="shared" si="10"/>
        <v>0</v>
      </c>
      <c r="M37" s="24"/>
      <c r="N37" s="21">
        <f t="shared" si="11"/>
        <v>0</v>
      </c>
      <c r="O37" s="21"/>
      <c r="P37" s="21"/>
      <c r="Q37" s="20">
        <f t="shared" si="12"/>
        <v>2</v>
      </c>
      <c r="R37" s="21">
        <f t="shared" si="13"/>
        <v>3400</v>
      </c>
    </row>
    <row r="38" spans="1:18" s="17" customFormat="1" ht="30" customHeight="1">
      <c r="A38" s="16">
        <f t="shared" si="7"/>
        <v>26</v>
      </c>
      <c r="B38" s="17" t="s">
        <v>58</v>
      </c>
      <c r="C38" s="18" t="s">
        <v>124</v>
      </c>
      <c r="D38" s="18">
        <v>5000</v>
      </c>
      <c r="E38" s="23">
        <v>6.5</v>
      </c>
      <c r="F38" s="19">
        <f t="shared" si="6"/>
        <v>32500</v>
      </c>
      <c r="G38" s="20"/>
      <c r="H38" s="20">
        <f t="shared" si="8"/>
        <v>0</v>
      </c>
      <c r="I38" s="20"/>
      <c r="J38" s="20">
        <f t="shared" si="9"/>
        <v>0</v>
      </c>
      <c r="L38" s="21">
        <f t="shared" si="10"/>
        <v>0</v>
      </c>
      <c r="M38" s="24"/>
      <c r="N38" s="21">
        <f t="shared" si="11"/>
        <v>0</v>
      </c>
      <c r="O38" s="21"/>
      <c r="P38" s="21"/>
      <c r="Q38" s="20">
        <f t="shared" si="12"/>
        <v>5000</v>
      </c>
      <c r="R38" s="21">
        <f t="shared" si="13"/>
        <v>32500</v>
      </c>
    </row>
    <row r="39" spans="1:18" s="17" customFormat="1" ht="30" customHeight="1">
      <c r="A39" s="16">
        <f t="shared" si="7"/>
        <v>27</v>
      </c>
      <c r="B39" s="17" t="s">
        <v>59</v>
      </c>
      <c r="C39" s="18" t="s">
        <v>124</v>
      </c>
      <c r="D39" s="18">
        <v>950</v>
      </c>
      <c r="E39" s="23">
        <v>25</v>
      </c>
      <c r="F39" s="19">
        <f t="shared" si="6"/>
        <v>23750</v>
      </c>
      <c r="G39" s="20"/>
      <c r="H39" s="20">
        <f t="shared" si="8"/>
        <v>0</v>
      </c>
      <c r="I39" s="20"/>
      <c r="J39" s="20">
        <f t="shared" si="9"/>
        <v>0</v>
      </c>
      <c r="L39" s="21">
        <f t="shared" si="10"/>
        <v>0</v>
      </c>
      <c r="M39" s="24"/>
      <c r="N39" s="21">
        <f t="shared" si="11"/>
        <v>0</v>
      </c>
      <c r="O39" s="21"/>
      <c r="P39" s="21"/>
      <c r="Q39" s="20">
        <f t="shared" si="12"/>
        <v>950</v>
      </c>
      <c r="R39" s="21">
        <f t="shared" si="13"/>
        <v>23750</v>
      </c>
    </row>
    <row r="40" spans="1:18" s="17" customFormat="1" ht="30" customHeight="1">
      <c r="A40" s="16">
        <f t="shared" si="7"/>
        <v>28</v>
      </c>
      <c r="B40" s="17" t="s">
        <v>60</v>
      </c>
      <c r="C40" s="18" t="s">
        <v>123</v>
      </c>
      <c r="D40" s="18">
        <v>10</v>
      </c>
      <c r="E40" s="23">
        <v>1200</v>
      </c>
      <c r="F40" s="19">
        <f t="shared" si="6"/>
        <v>12000</v>
      </c>
      <c r="G40" s="20"/>
      <c r="H40" s="20">
        <f t="shared" si="8"/>
        <v>0</v>
      </c>
      <c r="I40" s="20"/>
      <c r="J40" s="20">
        <f t="shared" si="9"/>
        <v>0</v>
      </c>
      <c r="L40" s="21">
        <f t="shared" si="10"/>
        <v>0</v>
      </c>
      <c r="M40" s="24"/>
      <c r="N40" s="21">
        <f t="shared" si="11"/>
        <v>0</v>
      </c>
      <c r="O40" s="21"/>
      <c r="P40" s="21"/>
      <c r="Q40" s="20">
        <f t="shared" si="12"/>
        <v>10</v>
      </c>
      <c r="R40" s="21">
        <f t="shared" si="13"/>
        <v>12000</v>
      </c>
    </row>
    <row r="41" spans="1:18" s="17" customFormat="1" ht="30" customHeight="1">
      <c r="A41" s="16">
        <f t="shared" si="7"/>
        <v>29</v>
      </c>
      <c r="B41" s="17" t="s">
        <v>61</v>
      </c>
      <c r="C41" s="18" t="s">
        <v>123</v>
      </c>
      <c r="D41" s="18">
        <v>10</v>
      </c>
      <c r="E41" s="23">
        <v>1900</v>
      </c>
      <c r="F41" s="19">
        <f t="shared" si="6"/>
        <v>19000</v>
      </c>
      <c r="G41" s="20"/>
      <c r="H41" s="20">
        <f t="shared" si="8"/>
        <v>0</v>
      </c>
      <c r="I41" s="20"/>
      <c r="J41" s="20">
        <f t="shared" si="9"/>
        <v>0</v>
      </c>
      <c r="L41" s="21">
        <f t="shared" si="10"/>
        <v>0</v>
      </c>
      <c r="M41" s="24"/>
      <c r="N41" s="21">
        <f t="shared" si="11"/>
        <v>0</v>
      </c>
      <c r="O41" s="21"/>
      <c r="P41" s="21"/>
      <c r="Q41" s="20">
        <f t="shared" si="12"/>
        <v>10</v>
      </c>
      <c r="R41" s="21">
        <f t="shared" si="13"/>
        <v>19000</v>
      </c>
    </row>
    <row r="42" spans="1:18" s="17" customFormat="1" ht="30" customHeight="1">
      <c r="A42" s="16">
        <f t="shared" si="7"/>
        <v>30</v>
      </c>
      <c r="B42" s="17" t="s">
        <v>62</v>
      </c>
      <c r="C42" s="18" t="s">
        <v>123</v>
      </c>
      <c r="D42" s="18">
        <v>4</v>
      </c>
      <c r="E42" s="23">
        <v>12000</v>
      </c>
      <c r="F42" s="19">
        <f t="shared" si="6"/>
        <v>48000</v>
      </c>
      <c r="G42" s="20"/>
      <c r="H42" s="20">
        <f t="shared" si="8"/>
        <v>0</v>
      </c>
      <c r="I42" s="20"/>
      <c r="J42" s="20">
        <f t="shared" si="9"/>
        <v>0</v>
      </c>
      <c r="L42" s="21">
        <f t="shared" si="10"/>
        <v>0</v>
      </c>
      <c r="M42" s="24"/>
      <c r="N42" s="21">
        <f t="shared" si="11"/>
        <v>0</v>
      </c>
      <c r="O42" s="21"/>
      <c r="P42" s="21"/>
      <c r="Q42" s="20">
        <f t="shared" si="12"/>
        <v>4</v>
      </c>
      <c r="R42" s="21">
        <f t="shared" si="13"/>
        <v>48000</v>
      </c>
    </row>
    <row r="43" spans="1:18" s="17" customFormat="1" ht="30" customHeight="1">
      <c r="A43" s="16">
        <f t="shared" si="7"/>
        <v>31</v>
      </c>
      <c r="B43" s="17" t="s">
        <v>63</v>
      </c>
      <c r="C43" s="18" t="s">
        <v>123</v>
      </c>
      <c r="D43" s="18">
        <v>1500</v>
      </c>
      <c r="E43" s="23">
        <v>620</v>
      </c>
      <c r="F43" s="19">
        <f t="shared" si="6"/>
        <v>930000</v>
      </c>
      <c r="G43" s="20"/>
      <c r="H43" s="20">
        <f t="shared" si="8"/>
        <v>0</v>
      </c>
      <c r="I43" s="20"/>
      <c r="J43" s="20">
        <f t="shared" si="9"/>
        <v>0</v>
      </c>
      <c r="L43" s="21">
        <f t="shared" si="10"/>
        <v>0</v>
      </c>
      <c r="M43" s="24"/>
      <c r="N43" s="21">
        <f t="shared" si="11"/>
        <v>0</v>
      </c>
      <c r="O43" s="21"/>
      <c r="P43" s="21"/>
      <c r="Q43" s="20">
        <f t="shared" si="12"/>
        <v>1500</v>
      </c>
      <c r="R43" s="21">
        <f t="shared" si="13"/>
        <v>930000</v>
      </c>
    </row>
    <row r="44" spans="1:18" s="17" customFormat="1" ht="30" customHeight="1">
      <c r="A44" s="16">
        <f t="shared" si="7"/>
        <v>32</v>
      </c>
      <c r="B44" s="17" t="s">
        <v>64</v>
      </c>
      <c r="C44" s="18" t="s">
        <v>123</v>
      </c>
      <c r="D44" s="18">
        <v>2</v>
      </c>
      <c r="E44" s="23">
        <v>60000</v>
      </c>
      <c r="F44" s="19">
        <f t="shared" si="6"/>
        <v>120000</v>
      </c>
      <c r="G44" s="20"/>
      <c r="H44" s="20">
        <f t="shared" si="8"/>
        <v>0</v>
      </c>
      <c r="I44" s="20"/>
      <c r="J44" s="20">
        <f t="shared" si="9"/>
        <v>0</v>
      </c>
      <c r="L44" s="21">
        <f t="shared" si="10"/>
        <v>0</v>
      </c>
      <c r="M44" s="24"/>
      <c r="N44" s="21">
        <f t="shared" si="11"/>
        <v>0</v>
      </c>
      <c r="O44" s="21"/>
      <c r="P44" s="21"/>
      <c r="Q44" s="20">
        <f t="shared" si="12"/>
        <v>2</v>
      </c>
      <c r="R44" s="21">
        <f t="shared" si="13"/>
        <v>120000</v>
      </c>
    </row>
    <row r="45" spans="1:18" s="17" customFormat="1" ht="30" customHeight="1">
      <c r="A45" s="16">
        <f t="shared" si="7"/>
        <v>33</v>
      </c>
      <c r="B45" s="17" t="s">
        <v>65</v>
      </c>
      <c r="C45" s="18" t="s">
        <v>123</v>
      </c>
      <c r="D45" s="18">
        <v>9</v>
      </c>
      <c r="E45" s="23">
        <v>2500</v>
      </c>
      <c r="F45" s="19">
        <f t="shared" si="6"/>
        <v>22500</v>
      </c>
      <c r="G45" s="20"/>
      <c r="H45" s="20">
        <f t="shared" si="8"/>
        <v>0</v>
      </c>
      <c r="I45" s="20"/>
      <c r="J45" s="20">
        <f t="shared" si="9"/>
        <v>0</v>
      </c>
      <c r="L45" s="21">
        <f t="shared" si="10"/>
        <v>0</v>
      </c>
      <c r="M45" s="24"/>
      <c r="N45" s="21">
        <f t="shared" si="11"/>
        <v>0</v>
      </c>
      <c r="O45" s="21"/>
      <c r="P45" s="21"/>
      <c r="Q45" s="20">
        <f t="shared" si="12"/>
        <v>9</v>
      </c>
      <c r="R45" s="21">
        <f t="shared" si="13"/>
        <v>22500</v>
      </c>
    </row>
    <row r="46" spans="1:18" s="17" customFormat="1" ht="30" customHeight="1">
      <c r="A46" s="16">
        <f t="shared" si="7"/>
        <v>34</v>
      </c>
      <c r="B46" s="17" t="s">
        <v>66</v>
      </c>
      <c r="C46" s="18" t="s">
        <v>123</v>
      </c>
      <c r="D46" s="18">
        <v>4</v>
      </c>
      <c r="E46" s="23">
        <v>1200</v>
      </c>
      <c r="F46" s="19">
        <f t="shared" si="6"/>
        <v>4800</v>
      </c>
      <c r="G46" s="20"/>
      <c r="H46" s="20">
        <f t="shared" si="8"/>
        <v>0</v>
      </c>
      <c r="I46" s="20"/>
      <c r="J46" s="20">
        <f t="shared" si="9"/>
        <v>0</v>
      </c>
      <c r="L46" s="21">
        <f t="shared" si="10"/>
        <v>0</v>
      </c>
      <c r="M46" s="24"/>
      <c r="N46" s="21">
        <f t="shared" si="11"/>
        <v>0</v>
      </c>
      <c r="O46" s="21"/>
      <c r="P46" s="21"/>
      <c r="Q46" s="20">
        <f t="shared" si="12"/>
        <v>4</v>
      </c>
      <c r="R46" s="21">
        <f t="shared" si="13"/>
        <v>4800</v>
      </c>
    </row>
    <row r="47" spans="1:18" s="17" customFormat="1" ht="30" customHeight="1">
      <c r="A47" s="16">
        <f t="shared" si="7"/>
        <v>35</v>
      </c>
      <c r="B47" s="17" t="s">
        <v>67</v>
      </c>
      <c r="C47" s="18" t="s">
        <v>123</v>
      </c>
      <c r="D47" s="18">
        <v>4</v>
      </c>
      <c r="E47" s="23">
        <v>1200</v>
      </c>
      <c r="F47" s="19">
        <f t="shared" si="6"/>
        <v>4800</v>
      </c>
      <c r="G47" s="20"/>
      <c r="H47" s="20">
        <f t="shared" si="8"/>
        <v>0</v>
      </c>
      <c r="I47" s="20"/>
      <c r="J47" s="20">
        <f t="shared" si="9"/>
        <v>0</v>
      </c>
      <c r="L47" s="21">
        <f t="shared" si="10"/>
        <v>0</v>
      </c>
      <c r="M47" s="24"/>
      <c r="N47" s="21">
        <f t="shared" si="11"/>
        <v>0</v>
      </c>
      <c r="O47" s="21"/>
      <c r="P47" s="21"/>
      <c r="Q47" s="20">
        <f t="shared" si="12"/>
        <v>4</v>
      </c>
      <c r="R47" s="21">
        <f t="shared" si="13"/>
        <v>4800</v>
      </c>
    </row>
    <row r="48" spans="1:18" s="17" customFormat="1" ht="30" customHeight="1">
      <c r="A48" s="16">
        <f t="shared" si="7"/>
        <v>36</v>
      </c>
      <c r="B48" s="17" t="s">
        <v>68</v>
      </c>
      <c r="C48" s="18" t="s">
        <v>123</v>
      </c>
      <c r="D48" s="18">
        <v>4</v>
      </c>
      <c r="E48" s="23">
        <v>1000</v>
      </c>
      <c r="F48" s="19">
        <f t="shared" si="6"/>
        <v>4000</v>
      </c>
      <c r="G48" s="20"/>
      <c r="H48" s="20">
        <f t="shared" si="8"/>
        <v>0</v>
      </c>
      <c r="I48" s="20"/>
      <c r="J48" s="20">
        <f t="shared" si="9"/>
        <v>0</v>
      </c>
      <c r="L48" s="21">
        <f t="shared" si="10"/>
        <v>0</v>
      </c>
      <c r="M48" s="24"/>
      <c r="N48" s="21">
        <f t="shared" si="11"/>
        <v>0</v>
      </c>
      <c r="O48" s="21"/>
      <c r="P48" s="21"/>
      <c r="Q48" s="20">
        <f t="shared" si="12"/>
        <v>4</v>
      </c>
      <c r="R48" s="21">
        <f t="shared" si="13"/>
        <v>4000</v>
      </c>
    </row>
    <row r="49" spans="1:18" s="17" customFormat="1" ht="30" customHeight="1">
      <c r="A49" s="16">
        <f t="shared" si="7"/>
        <v>37</v>
      </c>
      <c r="B49" s="17" t="s">
        <v>69</v>
      </c>
      <c r="C49" s="18" t="s">
        <v>123</v>
      </c>
      <c r="D49" s="18">
        <v>4</v>
      </c>
      <c r="E49" s="23">
        <v>1200</v>
      </c>
      <c r="F49" s="19">
        <f t="shared" si="6"/>
        <v>4800</v>
      </c>
      <c r="G49" s="20"/>
      <c r="H49" s="20">
        <f t="shared" si="8"/>
        <v>0</v>
      </c>
      <c r="I49" s="20"/>
      <c r="J49" s="20">
        <f t="shared" si="9"/>
        <v>0</v>
      </c>
      <c r="L49" s="21">
        <f t="shared" si="10"/>
        <v>0</v>
      </c>
      <c r="M49" s="24"/>
      <c r="N49" s="21">
        <f t="shared" si="11"/>
        <v>0</v>
      </c>
      <c r="O49" s="21"/>
      <c r="P49" s="21"/>
      <c r="Q49" s="20">
        <f t="shared" si="12"/>
        <v>4</v>
      </c>
      <c r="R49" s="21">
        <f t="shared" si="13"/>
        <v>4800</v>
      </c>
    </row>
    <row r="50" spans="1:18" s="17" customFormat="1" ht="30" customHeight="1">
      <c r="A50" s="16">
        <f t="shared" si="7"/>
        <v>38</v>
      </c>
      <c r="B50" s="17" t="s">
        <v>70</v>
      </c>
      <c r="C50" s="18" t="s">
        <v>123</v>
      </c>
      <c r="D50" s="18">
        <v>4</v>
      </c>
      <c r="E50" s="23">
        <v>550</v>
      </c>
      <c r="F50" s="19">
        <f t="shared" si="6"/>
        <v>2200</v>
      </c>
      <c r="G50" s="20"/>
      <c r="H50" s="20">
        <f t="shared" si="8"/>
        <v>0</v>
      </c>
      <c r="I50" s="20"/>
      <c r="J50" s="20">
        <f t="shared" si="9"/>
        <v>0</v>
      </c>
      <c r="L50" s="21">
        <f t="shared" si="10"/>
        <v>0</v>
      </c>
      <c r="M50" s="24"/>
      <c r="N50" s="21">
        <f t="shared" si="11"/>
        <v>0</v>
      </c>
      <c r="O50" s="21"/>
      <c r="P50" s="21"/>
      <c r="Q50" s="20">
        <f t="shared" si="12"/>
        <v>4</v>
      </c>
      <c r="R50" s="21">
        <f t="shared" si="13"/>
        <v>2200</v>
      </c>
    </row>
    <row r="51" spans="1:18" s="17" customFormat="1" ht="30" customHeight="1">
      <c r="A51" s="16">
        <f t="shared" si="7"/>
        <v>39</v>
      </c>
      <c r="B51" s="17" t="s">
        <v>71</v>
      </c>
      <c r="C51" s="18" t="s">
        <v>123</v>
      </c>
      <c r="D51" s="18">
        <v>4</v>
      </c>
      <c r="E51" s="23">
        <v>450</v>
      </c>
      <c r="F51" s="19">
        <f t="shared" si="6"/>
        <v>1800</v>
      </c>
      <c r="G51" s="20"/>
      <c r="H51" s="20">
        <f t="shared" si="8"/>
        <v>0</v>
      </c>
      <c r="I51" s="20"/>
      <c r="J51" s="20">
        <f t="shared" si="9"/>
        <v>0</v>
      </c>
      <c r="L51" s="21">
        <f t="shared" si="10"/>
        <v>0</v>
      </c>
      <c r="M51" s="24"/>
      <c r="N51" s="21">
        <f t="shared" si="11"/>
        <v>0</v>
      </c>
      <c r="O51" s="21"/>
      <c r="P51" s="21"/>
      <c r="Q51" s="20">
        <f t="shared" si="12"/>
        <v>4</v>
      </c>
      <c r="R51" s="21">
        <f t="shared" si="13"/>
        <v>1800</v>
      </c>
    </row>
    <row r="52" spans="1:18" s="17" customFormat="1" ht="30" customHeight="1">
      <c r="A52" s="16">
        <f t="shared" si="7"/>
        <v>40</v>
      </c>
      <c r="B52" s="17" t="s">
        <v>72</v>
      </c>
      <c r="C52" s="18" t="s">
        <v>123</v>
      </c>
      <c r="D52" s="18">
        <v>4</v>
      </c>
      <c r="E52" s="23">
        <v>4500</v>
      </c>
      <c r="F52" s="19">
        <f t="shared" si="6"/>
        <v>18000</v>
      </c>
      <c r="G52" s="20"/>
      <c r="H52" s="20">
        <f t="shared" si="8"/>
        <v>0</v>
      </c>
      <c r="I52" s="20"/>
      <c r="J52" s="20">
        <f t="shared" si="9"/>
        <v>0</v>
      </c>
      <c r="L52" s="21">
        <f t="shared" si="10"/>
        <v>0</v>
      </c>
      <c r="M52" s="24"/>
      <c r="N52" s="21">
        <f t="shared" si="11"/>
        <v>0</v>
      </c>
      <c r="O52" s="21"/>
      <c r="P52" s="21"/>
      <c r="Q52" s="20">
        <f t="shared" si="12"/>
        <v>4</v>
      </c>
      <c r="R52" s="21">
        <f t="shared" si="13"/>
        <v>18000</v>
      </c>
    </row>
    <row r="53" spans="1:18" s="17" customFormat="1" ht="30" customHeight="1">
      <c r="A53" s="16">
        <f t="shared" si="7"/>
        <v>41</v>
      </c>
      <c r="B53" s="17" t="s">
        <v>73</v>
      </c>
      <c r="C53" s="18" t="s">
        <v>124</v>
      </c>
      <c r="D53" s="18">
        <v>6</v>
      </c>
      <c r="E53" s="23">
        <v>120</v>
      </c>
      <c r="F53" s="19">
        <f t="shared" si="6"/>
        <v>720</v>
      </c>
      <c r="G53" s="20"/>
      <c r="H53" s="20">
        <f t="shared" si="8"/>
        <v>0</v>
      </c>
      <c r="I53" s="20"/>
      <c r="J53" s="20">
        <f t="shared" si="9"/>
        <v>0</v>
      </c>
      <c r="L53" s="21">
        <f t="shared" si="10"/>
        <v>0</v>
      </c>
      <c r="M53" s="24"/>
      <c r="N53" s="21">
        <f t="shared" si="11"/>
        <v>0</v>
      </c>
      <c r="O53" s="21"/>
      <c r="P53" s="21"/>
      <c r="Q53" s="20">
        <f t="shared" si="12"/>
        <v>6</v>
      </c>
      <c r="R53" s="21">
        <f t="shared" si="13"/>
        <v>720</v>
      </c>
    </row>
    <row r="54" spans="1:18" s="17" customFormat="1" ht="30" customHeight="1">
      <c r="A54" s="16">
        <f t="shared" si="7"/>
        <v>42</v>
      </c>
      <c r="B54" s="17" t="s">
        <v>74</v>
      </c>
      <c r="C54" s="18" t="s">
        <v>123</v>
      </c>
      <c r="D54" s="18">
        <v>4</v>
      </c>
      <c r="E54" s="23">
        <v>4650</v>
      </c>
      <c r="F54" s="19">
        <f t="shared" si="6"/>
        <v>18600</v>
      </c>
      <c r="G54" s="20"/>
      <c r="H54" s="20">
        <f t="shared" si="8"/>
        <v>0</v>
      </c>
      <c r="I54" s="20"/>
      <c r="J54" s="20">
        <f t="shared" si="9"/>
        <v>0</v>
      </c>
      <c r="L54" s="21">
        <f t="shared" si="10"/>
        <v>0</v>
      </c>
      <c r="M54" s="24"/>
      <c r="N54" s="21">
        <f t="shared" si="11"/>
        <v>0</v>
      </c>
      <c r="O54" s="21"/>
      <c r="P54" s="21"/>
      <c r="Q54" s="20">
        <f t="shared" si="12"/>
        <v>4</v>
      </c>
      <c r="R54" s="21">
        <f t="shared" si="13"/>
        <v>18600</v>
      </c>
    </row>
    <row r="55" spans="1:18" s="17" customFormat="1" ht="30" customHeight="1">
      <c r="A55" s="16">
        <f t="shared" si="7"/>
        <v>43</v>
      </c>
      <c r="B55" s="17" t="s">
        <v>75</v>
      </c>
      <c r="C55" s="18" t="s">
        <v>123</v>
      </c>
      <c r="D55" s="18">
        <v>2</v>
      </c>
      <c r="E55" s="23">
        <v>4500</v>
      </c>
      <c r="F55" s="19">
        <f t="shared" si="6"/>
        <v>9000</v>
      </c>
      <c r="G55" s="20"/>
      <c r="H55" s="20">
        <f t="shared" si="8"/>
        <v>0</v>
      </c>
      <c r="I55" s="20"/>
      <c r="J55" s="20">
        <f t="shared" si="9"/>
        <v>0</v>
      </c>
      <c r="L55" s="21">
        <f t="shared" si="10"/>
        <v>0</v>
      </c>
      <c r="M55" s="24"/>
      <c r="N55" s="21">
        <f t="shared" si="11"/>
        <v>0</v>
      </c>
      <c r="O55" s="21"/>
      <c r="P55" s="21"/>
      <c r="Q55" s="20">
        <f t="shared" si="12"/>
        <v>2</v>
      </c>
      <c r="R55" s="21">
        <f t="shared" si="13"/>
        <v>9000</v>
      </c>
    </row>
    <row r="56" spans="1:18" s="17" customFormat="1" ht="30" customHeight="1">
      <c r="A56" s="16">
        <f t="shared" si="7"/>
        <v>44</v>
      </c>
      <c r="B56" s="17" t="s">
        <v>76</v>
      </c>
      <c r="C56" s="18" t="s">
        <v>123</v>
      </c>
      <c r="D56" s="18">
        <v>2</v>
      </c>
      <c r="E56" s="23">
        <v>4000</v>
      </c>
      <c r="F56" s="19">
        <f t="shared" si="6"/>
        <v>8000</v>
      </c>
      <c r="G56" s="20"/>
      <c r="H56" s="20">
        <f t="shared" si="8"/>
        <v>0</v>
      </c>
      <c r="I56" s="20"/>
      <c r="J56" s="20">
        <f t="shared" si="9"/>
        <v>0</v>
      </c>
      <c r="L56" s="21">
        <f t="shared" si="10"/>
        <v>0</v>
      </c>
      <c r="M56" s="24"/>
      <c r="N56" s="21">
        <f t="shared" si="11"/>
        <v>0</v>
      </c>
      <c r="O56" s="21"/>
      <c r="P56" s="21"/>
      <c r="Q56" s="20">
        <f t="shared" si="12"/>
        <v>2</v>
      </c>
      <c r="R56" s="21">
        <f t="shared" si="13"/>
        <v>8000</v>
      </c>
    </row>
    <row r="57" spans="1:18" s="17" customFormat="1" ht="30" customHeight="1">
      <c r="A57" s="16">
        <f t="shared" si="7"/>
        <v>45</v>
      </c>
      <c r="B57" s="17" t="s">
        <v>77</v>
      </c>
      <c r="C57" s="18" t="s">
        <v>123</v>
      </c>
      <c r="D57" s="18">
        <v>2</v>
      </c>
      <c r="E57" s="23">
        <v>2500</v>
      </c>
      <c r="F57" s="19">
        <f t="shared" si="6"/>
        <v>5000</v>
      </c>
      <c r="G57" s="20"/>
      <c r="H57" s="20">
        <f t="shared" si="8"/>
        <v>0</v>
      </c>
      <c r="I57" s="20"/>
      <c r="J57" s="20">
        <f t="shared" si="9"/>
        <v>0</v>
      </c>
      <c r="L57" s="21">
        <f t="shared" si="10"/>
        <v>0</v>
      </c>
      <c r="M57" s="24"/>
      <c r="N57" s="21">
        <f t="shared" si="11"/>
        <v>0</v>
      </c>
      <c r="O57" s="21"/>
      <c r="P57" s="21"/>
      <c r="Q57" s="20">
        <f t="shared" si="12"/>
        <v>2</v>
      </c>
      <c r="R57" s="21">
        <f t="shared" si="13"/>
        <v>5000</v>
      </c>
    </row>
    <row r="58" spans="1:18" s="17" customFormat="1" ht="30" customHeight="1">
      <c r="A58" s="16">
        <f t="shared" si="7"/>
        <v>46</v>
      </c>
      <c r="B58" s="17" t="s">
        <v>78</v>
      </c>
      <c r="C58" s="18" t="s">
        <v>123</v>
      </c>
      <c r="D58" s="18">
        <v>2</v>
      </c>
      <c r="E58" s="23">
        <v>1000</v>
      </c>
      <c r="F58" s="19">
        <f t="shared" si="6"/>
        <v>2000</v>
      </c>
      <c r="G58" s="20"/>
      <c r="H58" s="20">
        <f t="shared" si="8"/>
        <v>0</v>
      </c>
      <c r="I58" s="20"/>
      <c r="J58" s="20">
        <f t="shared" si="9"/>
        <v>0</v>
      </c>
      <c r="L58" s="21">
        <f t="shared" si="10"/>
        <v>0</v>
      </c>
      <c r="M58" s="24"/>
      <c r="N58" s="21">
        <f t="shared" si="11"/>
        <v>0</v>
      </c>
      <c r="O58" s="21"/>
      <c r="P58" s="21"/>
      <c r="Q58" s="20">
        <f t="shared" si="12"/>
        <v>2</v>
      </c>
      <c r="R58" s="21">
        <f t="shared" si="13"/>
        <v>2000</v>
      </c>
    </row>
    <row r="59" spans="1:18" s="17" customFormat="1" ht="30" customHeight="1">
      <c r="A59" s="16">
        <f t="shared" si="7"/>
        <v>47</v>
      </c>
      <c r="B59" s="17" t="s">
        <v>79</v>
      </c>
      <c r="C59" s="18" t="s">
        <v>123</v>
      </c>
      <c r="D59" s="18">
        <v>2</v>
      </c>
      <c r="E59" s="23">
        <v>1200</v>
      </c>
      <c r="F59" s="19">
        <f t="shared" si="6"/>
        <v>2400</v>
      </c>
      <c r="G59" s="20"/>
      <c r="H59" s="20">
        <f t="shared" si="8"/>
        <v>0</v>
      </c>
      <c r="I59" s="20"/>
      <c r="J59" s="20">
        <f t="shared" si="9"/>
        <v>0</v>
      </c>
      <c r="L59" s="21">
        <f t="shared" si="10"/>
        <v>0</v>
      </c>
      <c r="M59" s="24"/>
      <c r="N59" s="21">
        <f t="shared" si="11"/>
        <v>0</v>
      </c>
      <c r="O59" s="21"/>
      <c r="P59" s="21"/>
      <c r="Q59" s="20">
        <f t="shared" si="12"/>
        <v>2</v>
      </c>
      <c r="R59" s="21">
        <f t="shared" si="13"/>
        <v>2400</v>
      </c>
    </row>
    <row r="60" spans="1:18" s="17" customFormat="1" ht="30" customHeight="1">
      <c r="A60" s="16">
        <f t="shared" si="7"/>
        <v>48</v>
      </c>
      <c r="B60" s="17" t="s">
        <v>80</v>
      </c>
      <c r="C60" s="18" t="s">
        <v>123</v>
      </c>
      <c r="D60" s="18">
        <v>2</v>
      </c>
      <c r="E60" s="23">
        <v>5250</v>
      </c>
      <c r="F60" s="19">
        <f t="shared" si="6"/>
        <v>10500</v>
      </c>
      <c r="G60" s="20"/>
      <c r="H60" s="20">
        <f t="shared" si="8"/>
        <v>0</v>
      </c>
      <c r="I60" s="20"/>
      <c r="J60" s="20">
        <f t="shared" si="9"/>
        <v>0</v>
      </c>
      <c r="L60" s="21">
        <f t="shared" si="10"/>
        <v>0</v>
      </c>
      <c r="M60" s="24"/>
      <c r="N60" s="21">
        <f t="shared" si="11"/>
        <v>0</v>
      </c>
      <c r="O60" s="21"/>
      <c r="P60" s="21"/>
      <c r="Q60" s="20">
        <f t="shared" si="12"/>
        <v>2</v>
      </c>
      <c r="R60" s="21">
        <f t="shared" si="13"/>
        <v>10500</v>
      </c>
    </row>
    <row r="61" spans="1:18" s="17" customFormat="1" ht="30" customHeight="1">
      <c r="A61" s="16">
        <f t="shared" si="7"/>
        <v>49</v>
      </c>
      <c r="B61" s="17" t="s">
        <v>81</v>
      </c>
      <c r="C61" s="18" t="s">
        <v>123</v>
      </c>
      <c r="D61" s="18">
        <v>2</v>
      </c>
      <c r="E61" s="23">
        <v>8000</v>
      </c>
      <c r="F61" s="19">
        <f t="shared" si="6"/>
        <v>16000</v>
      </c>
      <c r="G61" s="20"/>
      <c r="H61" s="20">
        <f t="shared" si="8"/>
        <v>0</v>
      </c>
      <c r="I61" s="20"/>
      <c r="J61" s="20">
        <f t="shared" si="9"/>
        <v>0</v>
      </c>
      <c r="L61" s="21">
        <f t="shared" si="10"/>
        <v>0</v>
      </c>
      <c r="M61" s="24"/>
      <c r="N61" s="21">
        <f t="shared" si="11"/>
        <v>0</v>
      </c>
      <c r="O61" s="21"/>
      <c r="P61" s="21"/>
      <c r="Q61" s="20">
        <f t="shared" si="12"/>
        <v>2</v>
      </c>
      <c r="R61" s="21">
        <f t="shared" si="13"/>
        <v>16000</v>
      </c>
    </row>
    <row r="62" spans="1:18" s="17" customFormat="1" ht="30" customHeight="1">
      <c r="A62" s="16">
        <f t="shared" si="7"/>
        <v>50</v>
      </c>
      <c r="B62" s="17" t="s">
        <v>82</v>
      </c>
      <c r="C62" s="18" t="s">
        <v>123</v>
      </c>
      <c r="D62" s="18">
        <v>2</v>
      </c>
      <c r="E62" s="23">
        <v>4500</v>
      </c>
      <c r="F62" s="19">
        <f t="shared" si="6"/>
        <v>9000</v>
      </c>
      <c r="G62" s="20"/>
      <c r="H62" s="20">
        <f t="shared" si="8"/>
        <v>0</v>
      </c>
      <c r="I62" s="20"/>
      <c r="J62" s="20">
        <f t="shared" si="9"/>
        <v>0</v>
      </c>
      <c r="L62" s="21">
        <f t="shared" si="10"/>
        <v>0</v>
      </c>
      <c r="M62" s="24"/>
      <c r="N62" s="21">
        <f t="shared" si="11"/>
        <v>0</v>
      </c>
      <c r="O62" s="21"/>
      <c r="P62" s="21"/>
      <c r="Q62" s="20">
        <f t="shared" si="12"/>
        <v>2</v>
      </c>
      <c r="R62" s="21">
        <f t="shared" si="13"/>
        <v>9000</v>
      </c>
    </row>
    <row r="63" spans="1:18" s="17" customFormat="1" ht="30" customHeight="1">
      <c r="A63" s="16">
        <f t="shared" si="7"/>
        <v>51</v>
      </c>
      <c r="B63" s="17" t="s">
        <v>83</v>
      </c>
      <c r="C63" s="18" t="s">
        <v>123</v>
      </c>
      <c r="D63" s="18">
        <v>35</v>
      </c>
      <c r="E63" s="23">
        <v>65</v>
      </c>
      <c r="F63" s="19">
        <f t="shared" si="6"/>
        <v>2275</v>
      </c>
      <c r="G63" s="20"/>
      <c r="H63" s="20">
        <f t="shared" si="8"/>
        <v>0</v>
      </c>
      <c r="I63" s="20"/>
      <c r="J63" s="20">
        <f t="shared" si="9"/>
        <v>0</v>
      </c>
      <c r="L63" s="21">
        <f t="shared" si="10"/>
        <v>0</v>
      </c>
      <c r="M63" s="24"/>
      <c r="N63" s="21">
        <f t="shared" si="11"/>
        <v>0</v>
      </c>
      <c r="O63" s="21"/>
      <c r="P63" s="21"/>
      <c r="Q63" s="20">
        <f t="shared" si="12"/>
        <v>35</v>
      </c>
      <c r="R63" s="21">
        <f t="shared" si="13"/>
        <v>2275</v>
      </c>
    </row>
    <row r="64" spans="1:18" s="17" customFormat="1" ht="30" customHeight="1">
      <c r="A64" s="16">
        <f t="shared" si="7"/>
        <v>52</v>
      </c>
      <c r="B64" s="17" t="s">
        <v>84</v>
      </c>
      <c r="C64" s="18" t="s">
        <v>123</v>
      </c>
      <c r="D64" s="18">
        <v>40</v>
      </c>
      <c r="E64" s="23">
        <v>250</v>
      </c>
      <c r="F64" s="19">
        <f t="shared" si="6"/>
        <v>10000</v>
      </c>
      <c r="G64" s="20"/>
      <c r="H64" s="20">
        <f t="shared" si="8"/>
        <v>0</v>
      </c>
      <c r="I64" s="20"/>
      <c r="J64" s="20">
        <f t="shared" si="9"/>
        <v>0</v>
      </c>
      <c r="L64" s="21">
        <f t="shared" si="10"/>
        <v>0</v>
      </c>
      <c r="M64" s="24"/>
      <c r="N64" s="21">
        <f t="shared" si="11"/>
        <v>0</v>
      </c>
      <c r="O64" s="21"/>
      <c r="P64" s="21"/>
      <c r="Q64" s="20">
        <f t="shared" si="12"/>
        <v>40</v>
      </c>
      <c r="R64" s="21">
        <f t="shared" si="13"/>
        <v>10000</v>
      </c>
    </row>
    <row r="65" spans="1:18" s="17" customFormat="1" ht="30" customHeight="1">
      <c r="A65" s="16">
        <f t="shared" si="7"/>
        <v>53</v>
      </c>
      <c r="B65" s="17" t="s">
        <v>85</v>
      </c>
      <c r="C65" s="18" t="s">
        <v>123</v>
      </c>
      <c r="D65" s="18">
        <v>40</v>
      </c>
      <c r="E65" s="23">
        <v>3000</v>
      </c>
      <c r="F65" s="19">
        <f t="shared" si="6"/>
        <v>120000</v>
      </c>
      <c r="G65" s="20"/>
      <c r="H65" s="20">
        <f t="shared" si="8"/>
        <v>0</v>
      </c>
      <c r="I65" s="20"/>
      <c r="J65" s="20">
        <f t="shared" si="9"/>
        <v>0</v>
      </c>
      <c r="L65" s="21">
        <f t="shared" si="10"/>
        <v>0</v>
      </c>
      <c r="M65" s="24"/>
      <c r="N65" s="21">
        <f t="shared" si="11"/>
        <v>0</v>
      </c>
      <c r="O65" s="21"/>
      <c r="P65" s="21"/>
      <c r="Q65" s="20">
        <f t="shared" si="12"/>
        <v>40</v>
      </c>
      <c r="R65" s="21">
        <f t="shared" si="13"/>
        <v>120000</v>
      </c>
    </row>
    <row r="66" spans="1:18" s="17" customFormat="1" ht="30" customHeight="1">
      <c r="A66" s="16">
        <f t="shared" si="7"/>
        <v>54</v>
      </c>
      <c r="B66" s="17" t="s">
        <v>86</v>
      </c>
      <c r="C66" s="18" t="s">
        <v>123</v>
      </c>
      <c r="D66" s="18">
        <v>40</v>
      </c>
      <c r="E66" s="23">
        <v>55</v>
      </c>
      <c r="F66" s="19">
        <f t="shared" si="6"/>
        <v>2200</v>
      </c>
      <c r="G66" s="20"/>
      <c r="H66" s="20">
        <f t="shared" si="8"/>
        <v>0</v>
      </c>
      <c r="I66" s="20"/>
      <c r="J66" s="20">
        <f t="shared" si="9"/>
        <v>0</v>
      </c>
      <c r="L66" s="21">
        <f t="shared" si="10"/>
        <v>0</v>
      </c>
      <c r="M66" s="24"/>
      <c r="N66" s="21">
        <f t="shared" si="11"/>
        <v>0</v>
      </c>
      <c r="O66" s="21"/>
      <c r="P66" s="21"/>
      <c r="Q66" s="20">
        <f t="shared" si="12"/>
        <v>40</v>
      </c>
      <c r="R66" s="21">
        <f t="shared" si="13"/>
        <v>2200</v>
      </c>
    </row>
    <row r="67" spans="1:18" s="17" customFormat="1" ht="30" customHeight="1">
      <c r="A67" s="16">
        <f t="shared" si="7"/>
        <v>55</v>
      </c>
      <c r="B67" s="17" t="s">
        <v>87</v>
      </c>
      <c r="C67" s="18" t="s">
        <v>123</v>
      </c>
      <c r="D67" s="18">
        <v>4</v>
      </c>
      <c r="E67" s="23">
        <v>3000</v>
      </c>
      <c r="F67" s="19">
        <f t="shared" si="6"/>
        <v>12000</v>
      </c>
      <c r="G67" s="20"/>
      <c r="H67" s="20">
        <f t="shared" si="8"/>
        <v>0</v>
      </c>
      <c r="I67" s="20"/>
      <c r="J67" s="20">
        <f t="shared" si="9"/>
        <v>0</v>
      </c>
      <c r="L67" s="21">
        <f t="shared" si="10"/>
        <v>0</v>
      </c>
      <c r="M67" s="24"/>
      <c r="N67" s="21">
        <f t="shared" si="11"/>
        <v>0</v>
      </c>
      <c r="O67" s="21"/>
      <c r="P67" s="21"/>
      <c r="Q67" s="20">
        <f t="shared" si="12"/>
        <v>4</v>
      </c>
      <c r="R67" s="21">
        <f t="shared" si="13"/>
        <v>12000</v>
      </c>
    </row>
    <row r="68" spans="1:18" s="17" customFormat="1" ht="30" customHeight="1">
      <c r="A68" s="16">
        <f t="shared" si="7"/>
        <v>56</v>
      </c>
      <c r="B68" s="17" t="s">
        <v>88</v>
      </c>
      <c r="C68" s="18" t="s">
        <v>123</v>
      </c>
      <c r="D68" s="18">
        <v>6</v>
      </c>
      <c r="E68" s="23">
        <v>450</v>
      </c>
      <c r="F68" s="19">
        <f t="shared" si="6"/>
        <v>2700</v>
      </c>
      <c r="G68" s="20"/>
      <c r="H68" s="20">
        <f t="shared" si="8"/>
        <v>0</v>
      </c>
      <c r="I68" s="20"/>
      <c r="J68" s="20">
        <f t="shared" si="9"/>
        <v>0</v>
      </c>
      <c r="L68" s="21">
        <f t="shared" si="10"/>
        <v>0</v>
      </c>
      <c r="M68" s="24"/>
      <c r="N68" s="21">
        <f t="shared" si="11"/>
        <v>0</v>
      </c>
      <c r="O68" s="21"/>
      <c r="P68" s="21"/>
      <c r="Q68" s="20">
        <f t="shared" si="12"/>
        <v>6</v>
      </c>
      <c r="R68" s="21">
        <f t="shared" si="13"/>
        <v>2700</v>
      </c>
    </row>
    <row r="69" spans="1:18" s="17" customFormat="1" ht="30" customHeight="1">
      <c r="A69" s="16">
        <f t="shared" si="7"/>
        <v>57</v>
      </c>
      <c r="B69" s="17" t="s">
        <v>89</v>
      </c>
      <c r="C69" s="18" t="s">
        <v>123</v>
      </c>
      <c r="D69" s="18">
        <v>2</v>
      </c>
      <c r="E69" s="23">
        <v>1250</v>
      </c>
      <c r="F69" s="19">
        <f t="shared" si="6"/>
        <v>2500</v>
      </c>
      <c r="G69" s="20"/>
      <c r="H69" s="20">
        <f t="shared" si="8"/>
        <v>0</v>
      </c>
      <c r="I69" s="20"/>
      <c r="J69" s="20">
        <f t="shared" si="9"/>
        <v>0</v>
      </c>
      <c r="L69" s="21">
        <f t="shared" si="10"/>
        <v>0</v>
      </c>
      <c r="M69" s="24"/>
      <c r="N69" s="21">
        <f t="shared" si="11"/>
        <v>0</v>
      </c>
      <c r="O69" s="21"/>
      <c r="P69" s="21"/>
      <c r="Q69" s="20">
        <f t="shared" si="12"/>
        <v>2</v>
      </c>
      <c r="R69" s="21">
        <f t="shared" si="13"/>
        <v>2500</v>
      </c>
    </row>
    <row r="70" spans="1:18" s="17" customFormat="1" ht="30" customHeight="1">
      <c r="A70" s="16">
        <f t="shared" si="7"/>
        <v>58</v>
      </c>
      <c r="B70" s="17" t="s">
        <v>90</v>
      </c>
      <c r="C70" s="18" t="s">
        <v>123</v>
      </c>
      <c r="D70" s="18">
        <v>2</v>
      </c>
      <c r="E70" s="23">
        <v>900</v>
      </c>
      <c r="F70" s="19">
        <f t="shared" si="6"/>
        <v>1800</v>
      </c>
      <c r="G70" s="20"/>
      <c r="H70" s="20">
        <f t="shared" si="8"/>
        <v>0</v>
      </c>
      <c r="I70" s="20"/>
      <c r="J70" s="20">
        <f t="shared" si="9"/>
        <v>0</v>
      </c>
      <c r="L70" s="21">
        <f t="shared" si="10"/>
        <v>0</v>
      </c>
      <c r="M70" s="24"/>
      <c r="N70" s="21">
        <f t="shared" si="11"/>
        <v>0</v>
      </c>
      <c r="O70" s="21"/>
      <c r="P70" s="21"/>
      <c r="Q70" s="20">
        <f t="shared" si="12"/>
        <v>2</v>
      </c>
      <c r="R70" s="21">
        <f t="shared" si="13"/>
        <v>1800</v>
      </c>
    </row>
    <row r="71" spans="1:18" s="17" customFormat="1" ht="30" customHeight="1">
      <c r="A71" s="16">
        <f t="shared" si="7"/>
        <v>59</v>
      </c>
      <c r="B71" s="17" t="s">
        <v>91</v>
      </c>
      <c r="C71" s="18" t="s">
        <v>123</v>
      </c>
      <c r="D71" s="18">
        <v>10</v>
      </c>
      <c r="E71" s="23">
        <v>15</v>
      </c>
      <c r="F71" s="19">
        <f t="shared" si="6"/>
        <v>150</v>
      </c>
      <c r="G71" s="20"/>
      <c r="H71" s="20">
        <f t="shared" si="8"/>
        <v>0</v>
      </c>
      <c r="I71" s="20"/>
      <c r="J71" s="20">
        <f t="shared" si="9"/>
        <v>0</v>
      </c>
      <c r="L71" s="21">
        <f t="shared" si="10"/>
        <v>0</v>
      </c>
      <c r="M71" s="24"/>
      <c r="N71" s="21">
        <f t="shared" si="11"/>
        <v>0</v>
      </c>
      <c r="O71" s="21"/>
      <c r="P71" s="21"/>
      <c r="Q71" s="20">
        <f t="shared" si="12"/>
        <v>10</v>
      </c>
      <c r="R71" s="21">
        <f t="shared" si="13"/>
        <v>150</v>
      </c>
    </row>
    <row r="72" spans="1:18" s="17" customFormat="1" ht="30" customHeight="1">
      <c r="A72" s="16">
        <f t="shared" si="7"/>
        <v>60</v>
      </c>
      <c r="B72" s="17" t="s">
        <v>92</v>
      </c>
      <c r="C72" s="18" t="s">
        <v>123</v>
      </c>
      <c r="D72" s="18">
        <v>20</v>
      </c>
      <c r="E72" s="23">
        <v>35</v>
      </c>
      <c r="F72" s="19">
        <f t="shared" si="6"/>
        <v>700</v>
      </c>
      <c r="G72" s="20"/>
      <c r="H72" s="20">
        <f t="shared" si="8"/>
        <v>0</v>
      </c>
      <c r="I72" s="20"/>
      <c r="J72" s="20">
        <f t="shared" si="9"/>
        <v>0</v>
      </c>
      <c r="L72" s="21">
        <f t="shared" si="10"/>
        <v>0</v>
      </c>
      <c r="M72" s="24"/>
      <c r="N72" s="21">
        <f t="shared" si="11"/>
        <v>0</v>
      </c>
      <c r="O72" s="21"/>
      <c r="P72" s="21"/>
      <c r="Q72" s="20">
        <f t="shared" si="12"/>
        <v>20</v>
      </c>
      <c r="R72" s="21">
        <f t="shared" si="13"/>
        <v>700</v>
      </c>
    </row>
    <row r="73" spans="1:18" s="17" customFormat="1" ht="30" customHeight="1">
      <c r="A73" s="16">
        <f t="shared" si="7"/>
        <v>61</v>
      </c>
      <c r="B73" s="17" t="s">
        <v>93</v>
      </c>
      <c r="C73" s="18" t="s">
        <v>123</v>
      </c>
      <c r="D73" s="18">
        <v>4</v>
      </c>
      <c r="E73" s="23">
        <v>6500</v>
      </c>
      <c r="F73" s="19">
        <f t="shared" si="6"/>
        <v>26000</v>
      </c>
      <c r="G73" s="20"/>
      <c r="H73" s="20">
        <f t="shared" si="8"/>
        <v>0</v>
      </c>
      <c r="I73" s="20"/>
      <c r="J73" s="20">
        <f t="shared" si="9"/>
        <v>0</v>
      </c>
      <c r="L73" s="21">
        <f t="shared" si="10"/>
        <v>0</v>
      </c>
      <c r="M73" s="24"/>
      <c r="N73" s="21">
        <f t="shared" si="11"/>
        <v>0</v>
      </c>
      <c r="O73" s="21"/>
      <c r="P73" s="21"/>
      <c r="Q73" s="20">
        <f t="shared" si="12"/>
        <v>4</v>
      </c>
      <c r="R73" s="21">
        <f t="shared" si="13"/>
        <v>26000</v>
      </c>
    </row>
    <row r="74" spans="1:18" s="17" customFormat="1" ht="30" customHeight="1">
      <c r="A74" s="16">
        <f t="shared" si="7"/>
        <v>62</v>
      </c>
      <c r="B74" s="17" t="s">
        <v>94</v>
      </c>
      <c r="C74" s="18" t="s">
        <v>123</v>
      </c>
      <c r="D74" s="18">
        <v>10</v>
      </c>
      <c r="E74" s="23">
        <v>145</v>
      </c>
      <c r="F74" s="19">
        <f t="shared" si="6"/>
        <v>1450</v>
      </c>
      <c r="G74" s="20"/>
      <c r="H74" s="20">
        <f t="shared" si="8"/>
        <v>0</v>
      </c>
      <c r="I74" s="20"/>
      <c r="J74" s="20">
        <f t="shared" si="9"/>
        <v>0</v>
      </c>
      <c r="L74" s="21">
        <f t="shared" si="10"/>
        <v>0</v>
      </c>
      <c r="M74" s="24"/>
      <c r="N74" s="21">
        <f t="shared" si="11"/>
        <v>0</v>
      </c>
      <c r="O74" s="21"/>
      <c r="P74" s="21"/>
      <c r="Q74" s="20">
        <f t="shared" si="12"/>
        <v>10</v>
      </c>
      <c r="R74" s="21">
        <f t="shared" si="13"/>
        <v>1450</v>
      </c>
    </row>
    <row r="75" spans="1:18" s="17" customFormat="1" ht="30" customHeight="1">
      <c r="A75" s="16">
        <f t="shared" si="7"/>
        <v>63</v>
      </c>
      <c r="B75" s="17" t="s">
        <v>95</v>
      </c>
      <c r="C75" s="18" t="s">
        <v>123</v>
      </c>
      <c r="D75" s="18">
        <v>4</v>
      </c>
      <c r="E75" s="23">
        <v>45</v>
      </c>
      <c r="F75" s="19">
        <f t="shared" si="6"/>
        <v>180</v>
      </c>
      <c r="G75" s="20"/>
      <c r="H75" s="20">
        <f t="shared" si="8"/>
        <v>0</v>
      </c>
      <c r="I75" s="20"/>
      <c r="J75" s="20">
        <f t="shared" si="9"/>
        <v>0</v>
      </c>
      <c r="L75" s="21">
        <f t="shared" si="10"/>
        <v>0</v>
      </c>
      <c r="M75" s="24"/>
      <c r="N75" s="21">
        <f t="shared" si="11"/>
        <v>0</v>
      </c>
      <c r="O75" s="21"/>
      <c r="P75" s="21"/>
      <c r="Q75" s="20">
        <f t="shared" si="12"/>
        <v>4</v>
      </c>
      <c r="R75" s="21">
        <f t="shared" si="13"/>
        <v>180</v>
      </c>
    </row>
    <row r="76" spans="1:18" s="17" customFormat="1" ht="30" customHeight="1">
      <c r="A76" s="16">
        <f t="shared" si="7"/>
        <v>64</v>
      </c>
      <c r="B76" s="17" t="s">
        <v>96</v>
      </c>
      <c r="C76" s="18" t="s">
        <v>123</v>
      </c>
      <c r="D76" s="18">
        <v>4</v>
      </c>
      <c r="E76" s="23">
        <v>125</v>
      </c>
      <c r="F76" s="19">
        <f t="shared" si="6"/>
        <v>500</v>
      </c>
      <c r="G76" s="20"/>
      <c r="H76" s="20">
        <f t="shared" si="8"/>
        <v>0</v>
      </c>
      <c r="I76" s="20"/>
      <c r="J76" s="20">
        <f t="shared" si="9"/>
        <v>0</v>
      </c>
      <c r="L76" s="21">
        <f t="shared" si="10"/>
        <v>0</v>
      </c>
      <c r="M76" s="24"/>
      <c r="N76" s="21">
        <f t="shared" si="11"/>
        <v>0</v>
      </c>
      <c r="O76" s="21"/>
      <c r="P76" s="21"/>
      <c r="Q76" s="20">
        <f t="shared" si="12"/>
        <v>4</v>
      </c>
      <c r="R76" s="21">
        <f t="shared" si="13"/>
        <v>500</v>
      </c>
    </row>
    <row r="77" spans="1:18" s="17" customFormat="1" ht="30" customHeight="1">
      <c r="A77" s="16">
        <f t="shared" si="7"/>
        <v>65</v>
      </c>
      <c r="B77" s="17" t="s">
        <v>97</v>
      </c>
      <c r="C77" s="18" t="s">
        <v>123</v>
      </c>
      <c r="D77" s="18">
        <v>4</v>
      </c>
      <c r="E77" s="19">
        <v>3500</v>
      </c>
      <c r="F77" s="19">
        <f t="shared" si="6"/>
        <v>14000</v>
      </c>
      <c r="G77" s="20"/>
      <c r="H77" s="20">
        <f t="shared" si="8"/>
        <v>0</v>
      </c>
      <c r="I77" s="20"/>
      <c r="J77" s="20">
        <f t="shared" si="9"/>
        <v>0</v>
      </c>
      <c r="L77" s="21">
        <f t="shared" si="10"/>
        <v>0</v>
      </c>
      <c r="M77" s="24"/>
      <c r="N77" s="21">
        <f t="shared" si="11"/>
        <v>0</v>
      </c>
      <c r="O77" s="21"/>
      <c r="P77" s="21"/>
      <c r="Q77" s="20">
        <f t="shared" si="12"/>
        <v>4</v>
      </c>
      <c r="R77" s="21">
        <f t="shared" si="13"/>
        <v>14000</v>
      </c>
    </row>
    <row r="78" spans="1:18" s="17" customFormat="1" ht="30" customHeight="1">
      <c r="A78" s="16">
        <f t="shared" si="7"/>
        <v>66</v>
      </c>
      <c r="B78" s="17" t="s">
        <v>98</v>
      </c>
      <c r="C78" s="18" t="s">
        <v>123</v>
      </c>
      <c r="D78" s="18">
        <v>10</v>
      </c>
      <c r="E78" s="19">
        <v>2000</v>
      </c>
      <c r="F78" s="19">
        <f t="shared" si="6"/>
        <v>20000</v>
      </c>
      <c r="G78" s="20"/>
      <c r="H78" s="20">
        <f t="shared" si="8"/>
        <v>0</v>
      </c>
      <c r="I78" s="20"/>
      <c r="J78" s="20">
        <f t="shared" si="9"/>
        <v>0</v>
      </c>
      <c r="L78" s="21">
        <f t="shared" si="10"/>
        <v>0</v>
      </c>
      <c r="M78" s="24"/>
      <c r="N78" s="21">
        <f t="shared" si="11"/>
        <v>0</v>
      </c>
      <c r="O78" s="21"/>
      <c r="P78" s="21"/>
      <c r="Q78" s="20">
        <f t="shared" si="12"/>
        <v>10</v>
      </c>
      <c r="R78" s="21">
        <f t="shared" si="13"/>
        <v>20000</v>
      </c>
    </row>
    <row r="79" spans="1:18" s="17" customFormat="1" ht="30" customHeight="1">
      <c r="A79" s="16">
        <f t="shared" si="7"/>
        <v>67</v>
      </c>
      <c r="B79" s="17" t="s">
        <v>99</v>
      </c>
      <c r="C79" s="18" t="s">
        <v>123</v>
      </c>
      <c r="D79" s="18">
        <v>4</v>
      </c>
      <c r="E79" s="19">
        <v>4300</v>
      </c>
      <c r="F79" s="19">
        <f t="shared" si="6"/>
        <v>17200</v>
      </c>
      <c r="G79" s="20"/>
      <c r="H79" s="20">
        <f t="shared" si="8"/>
        <v>0</v>
      </c>
      <c r="I79" s="20"/>
      <c r="J79" s="20">
        <f t="shared" si="9"/>
        <v>0</v>
      </c>
      <c r="L79" s="21">
        <f t="shared" si="10"/>
        <v>0</v>
      </c>
      <c r="M79" s="24"/>
      <c r="N79" s="21">
        <f t="shared" si="11"/>
        <v>0</v>
      </c>
      <c r="O79" s="21"/>
      <c r="P79" s="21"/>
      <c r="Q79" s="20">
        <f t="shared" si="12"/>
        <v>4</v>
      </c>
      <c r="R79" s="21">
        <f t="shared" si="13"/>
        <v>17200</v>
      </c>
    </row>
    <row r="80" spans="1:18" s="17" customFormat="1" ht="30" customHeight="1">
      <c r="A80" s="16">
        <f t="shared" ref="A80:A102" si="14">A79+1</f>
        <v>68</v>
      </c>
      <c r="B80" s="17" t="s">
        <v>100</v>
      </c>
      <c r="C80" s="18" t="s">
        <v>123</v>
      </c>
      <c r="D80" s="18">
        <v>4</v>
      </c>
      <c r="E80" s="19">
        <v>5400</v>
      </c>
      <c r="F80" s="19">
        <f t="shared" ref="F80:F84" si="15">E80*D80</f>
        <v>21600</v>
      </c>
      <c r="G80" s="20"/>
      <c r="H80" s="20">
        <f t="shared" si="8"/>
        <v>0</v>
      </c>
      <c r="I80" s="20"/>
      <c r="J80" s="20">
        <f t="shared" si="9"/>
        <v>0</v>
      </c>
      <c r="L80" s="21">
        <f t="shared" si="10"/>
        <v>0</v>
      </c>
      <c r="M80" s="24"/>
      <c r="N80" s="21">
        <f t="shared" si="11"/>
        <v>0</v>
      </c>
      <c r="O80" s="21"/>
      <c r="P80" s="21"/>
      <c r="Q80" s="20">
        <f t="shared" si="12"/>
        <v>4</v>
      </c>
      <c r="R80" s="21">
        <f t="shared" si="13"/>
        <v>21600</v>
      </c>
    </row>
    <row r="81" spans="1:18" s="17" customFormat="1" ht="30" customHeight="1">
      <c r="A81" s="16">
        <f t="shared" si="14"/>
        <v>69</v>
      </c>
      <c r="B81" s="17" t="s">
        <v>101</v>
      </c>
      <c r="C81" s="18" t="s">
        <v>123</v>
      </c>
      <c r="D81" s="18">
        <v>50</v>
      </c>
      <c r="E81" s="19">
        <v>104</v>
      </c>
      <c r="F81" s="19">
        <f t="shared" si="15"/>
        <v>5200</v>
      </c>
      <c r="G81" s="20"/>
      <c r="H81" s="20">
        <f t="shared" si="8"/>
        <v>0</v>
      </c>
      <c r="I81" s="20"/>
      <c r="J81" s="20">
        <f t="shared" si="9"/>
        <v>0</v>
      </c>
      <c r="L81" s="21">
        <f t="shared" si="10"/>
        <v>0</v>
      </c>
      <c r="M81" s="24"/>
      <c r="N81" s="21">
        <f t="shared" si="11"/>
        <v>0</v>
      </c>
      <c r="O81" s="21"/>
      <c r="P81" s="21"/>
      <c r="Q81" s="20">
        <f t="shared" si="12"/>
        <v>50</v>
      </c>
      <c r="R81" s="21">
        <f t="shared" si="13"/>
        <v>5200</v>
      </c>
    </row>
    <row r="82" spans="1:18" s="17" customFormat="1" ht="30" customHeight="1">
      <c r="A82" s="16">
        <f t="shared" si="14"/>
        <v>70</v>
      </c>
      <c r="B82" s="17" t="s">
        <v>102</v>
      </c>
      <c r="C82" s="18" t="s">
        <v>123</v>
      </c>
      <c r="D82" s="18">
        <v>4</v>
      </c>
      <c r="E82" s="19">
        <v>1400</v>
      </c>
      <c r="F82" s="19">
        <f t="shared" si="15"/>
        <v>5600</v>
      </c>
      <c r="G82" s="20"/>
      <c r="H82" s="20">
        <f t="shared" si="8"/>
        <v>0</v>
      </c>
      <c r="I82" s="20"/>
      <c r="J82" s="20">
        <f t="shared" si="9"/>
        <v>0</v>
      </c>
      <c r="L82" s="21">
        <f t="shared" si="10"/>
        <v>0</v>
      </c>
      <c r="M82" s="24"/>
      <c r="N82" s="21">
        <f t="shared" si="11"/>
        <v>0</v>
      </c>
      <c r="O82" s="21"/>
      <c r="P82" s="21"/>
      <c r="Q82" s="20">
        <f t="shared" si="12"/>
        <v>4</v>
      </c>
      <c r="R82" s="21">
        <f t="shared" si="13"/>
        <v>5600</v>
      </c>
    </row>
    <row r="83" spans="1:18" s="17" customFormat="1" ht="30" customHeight="1">
      <c r="A83" s="16">
        <f t="shared" si="14"/>
        <v>71</v>
      </c>
      <c r="B83" s="17" t="s">
        <v>103</v>
      </c>
      <c r="C83" s="18" t="s">
        <v>123</v>
      </c>
      <c r="D83" s="18">
        <v>5000</v>
      </c>
      <c r="E83" s="19">
        <v>4.5</v>
      </c>
      <c r="F83" s="19">
        <f t="shared" si="15"/>
        <v>22500</v>
      </c>
      <c r="G83" s="20"/>
      <c r="H83" s="20">
        <f t="shared" ref="H83:H90" si="16">G83*E83</f>
        <v>0</v>
      </c>
      <c r="I83" s="20"/>
      <c r="J83" s="20">
        <f t="shared" ref="J83:J90" si="17">I83*E83</f>
        <v>0</v>
      </c>
      <c r="L83" s="21">
        <f t="shared" ref="L83:L90" si="18">K83*E83</f>
        <v>0</v>
      </c>
      <c r="M83" s="24"/>
      <c r="N83" s="21">
        <f t="shared" ref="N83:N90" si="19">M83*E83</f>
        <v>0</v>
      </c>
      <c r="O83" s="21"/>
      <c r="P83" s="21"/>
      <c r="Q83" s="20">
        <f t="shared" ref="Q83:Q90" si="20">D83-G83-I83-K83-M83-O83</f>
        <v>5000</v>
      </c>
      <c r="R83" s="21">
        <f t="shared" ref="R83:R90" si="21">Q83*E83</f>
        <v>22500</v>
      </c>
    </row>
    <row r="84" spans="1:18" s="17" customFormat="1" ht="30" customHeight="1">
      <c r="A84" s="16">
        <f t="shared" si="14"/>
        <v>72</v>
      </c>
      <c r="B84" s="17" t="s">
        <v>104</v>
      </c>
      <c r="C84" s="18" t="s">
        <v>123</v>
      </c>
      <c r="D84" s="18">
        <v>35</v>
      </c>
      <c r="E84" s="19">
        <v>2.5</v>
      </c>
      <c r="F84" s="19">
        <f t="shared" si="15"/>
        <v>87.5</v>
      </c>
      <c r="G84" s="20"/>
      <c r="H84" s="20">
        <f t="shared" si="16"/>
        <v>0</v>
      </c>
      <c r="I84" s="20"/>
      <c r="J84" s="20">
        <f t="shared" si="17"/>
        <v>0</v>
      </c>
      <c r="L84" s="21">
        <f t="shared" si="18"/>
        <v>0</v>
      </c>
      <c r="M84" s="24"/>
      <c r="N84" s="21">
        <f t="shared" si="19"/>
        <v>0</v>
      </c>
      <c r="O84" s="21"/>
      <c r="P84" s="21"/>
      <c r="Q84" s="20">
        <f t="shared" si="20"/>
        <v>35</v>
      </c>
      <c r="R84" s="21">
        <f t="shared" si="21"/>
        <v>87.5</v>
      </c>
    </row>
    <row r="85" spans="1:18" s="17" customFormat="1" ht="30" customHeight="1">
      <c r="A85" s="16">
        <f t="shared" si="14"/>
        <v>73</v>
      </c>
      <c r="B85" s="17" t="s">
        <v>105</v>
      </c>
      <c r="C85" s="18" t="s">
        <v>123</v>
      </c>
      <c r="D85" s="18">
        <v>6</v>
      </c>
      <c r="E85" s="19">
        <v>330</v>
      </c>
      <c r="F85" s="19">
        <f t="shared" ref="F85:F102" si="22">E85*D85</f>
        <v>1980</v>
      </c>
      <c r="G85" s="20"/>
      <c r="H85" s="20">
        <f t="shared" si="16"/>
        <v>0</v>
      </c>
      <c r="I85" s="20"/>
      <c r="J85" s="20">
        <f t="shared" si="17"/>
        <v>0</v>
      </c>
      <c r="L85" s="21">
        <f t="shared" si="18"/>
        <v>0</v>
      </c>
      <c r="M85" s="24"/>
      <c r="N85" s="21">
        <f t="shared" si="19"/>
        <v>0</v>
      </c>
      <c r="O85" s="21"/>
      <c r="P85" s="21"/>
      <c r="Q85" s="20">
        <f t="shared" si="20"/>
        <v>6</v>
      </c>
      <c r="R85" s="21">
        <f t="shared" si="21"/>
        <v>1980</v>
      </c>
    </row>
    <row r="86" spans="1:18" s="17" customFormat="1" ht="30" customHeight="1">
      <c r="A86" s="16">
        <f t="shared" si="14"/>
        <v>74</v>
      </c>
      <c r="B86" s="17" t="s">
        <v>106</v>
      </c>
      <c r="C86" s="18" t="s">
        <v>123</v>
      </c>
      <c r="D86" s="18">
        <v>6</v>
      </c>
      <c r="E86" s="19">
        <v>1480</v>
      </c>
      <c r="F86" s="19">
        <f t="shared" si="22"/>
        <v>8880</v>
      </c>
      <c r="G86" s="20"/>
      <c r="H86" s="20">
        <f t="shared" si="16"/>
        <v>0</v>
      </c>
      <c r="I86" s="20"/>
      <c r="J86" s="20">
        <f t="shared" si="17"/>
        <v>0</v>
      </c>
      <c r="L86" s="21">
        <f t="shared" si="18"/>
        <v>0</v>
      </c>
      <c r="M86" s="24"/>
      <c r="N86" s="21">
        <f t="shared" si="19"/>
        <v>0</v>
      </c>
      <c r="O86" s="21"/>
      <c r="P86" s="21"/>
      <c r="Q86" s="20">
        <f t="shared" si="20"/>
        <v>6</v>
      </c>
      <c r="R86" s="21">
        <f t="shared" si="21"/>
        <v>8880</v>
      </c>
    </row>
    <row r="87" spans="1:18" s="17" customFormat="1" ht="30" customHeight="1">
      <c r="A87" s="16">
        <f t="shared" si="14"/>
        <v>75</v>
      </c>
      <c r="B87" s="17" t="s">
        <v>107</v>
      </c>
      <c r="C87" s="18" t="s">
        <v>125</v>
      </c>
      <c r="D87" s="18">
        <v>3</v>
      </c>
      <c r="E87" s="19">
        <v>19890</v>
      </c>
      <c r="F87" s="19">
        <f t="shared" si="22"/>
        <v>59670</v>
      </c>
      <c r="G87" s="20"/>
      <c r="H87" s="20">
        <f t="shared" si="16"/>
        <v>0</v>
      </c>
      <c r="I87" s="20"/>
      <c r="J87" s="20">
        <f t="shared" si="17"/>
        <v>0</v>
      </c>
      <c r="L87" s="21">
        <f t="shared" si="18"/>
        <v>0</v>
      </c>
      <c r="M87" s="24"/>
      <c r="N87" s="21">
        <f t="shared" si="19"/>
        <v>0</v>
      </c>
      <c r="O87" s="21"/>
      <c r="P87" s="21"/>
      <c r="Q87" s="20">
        <f t="shared" si="20"/>
        <v>3</v>
      </c>
      <c r="R87" s="21">
        <f t="shared" si="21"/>
        <v>59670</v>
      </c>
    </row>
    <row r="88" spans="1:18" s="17" customFormat="1" ht="30" customHeight="1">
      <c r="A88" s="16">
        <f t="shared" si="14"/>
        <v>76</v>
      </c>
      <c r="B88" s="17" t="s">
        <v>108</v>
      </c>
      <c r="C88" s="18" t="s">
        <v>123</v>
      </c>
      <c r="D88" s="18">
        <v>3</v>
      </c>
      <c r="E88" s="19">
        <v>4200</v>
      </c>
      <c r="F88" s="19">
        <f t="shared" si="22"/>
        <v>12600</v>
      </c>
      <c r="G88" s="20"/>
      <c r="H88" s="20">
        <f t="shared" si="16"/>
        <v>0</v>
      </c>
      <c r="I88" s="20"/>
      <c r="J88" s="20">
        <f t="shared" si="17"/>
        <v>0</v>
      </c>
      <c r="L88" s="21">
        <f t="shared" si="18"/>
        <v>0</v>
      </c>
      <c r="M88" s="24"/>
      <c r="N88" s="21">
        <f t="shared" si="19"/>
        <v>0</v>
      </c>
      <c r="O88" s="21"/>
      <c r="P88" s="21"/>
      <c r="Q88" s="20">
        <f t="shared" si="20"/>
        <v>3</v>
      </c>
      <c r="R88" s="21">
        <f t="shared" si="21"/>
        <v>12600</v>
      </c>
    </row>
    <row r="89" spans="1:18" s="17" customFormat="1" ht="30" customHeight="1">
      <c r="A89" s="16">
        <f t="shared" si="14"/>
        <v>77</v>
      </c>
      <c r="B89" s="17" t="s">
        <v>109</v>
      </c>
      <c r="C89" s="18" t="s">
        <v>123</v>
      </c>
      <c r="D89" s="18">
        <v>6</v>
      </c>
      <c r="E89" s="19">
        <v>1050</v>
      </c>
      <c r="F89" s="19">
        <f t="shared" si="22"/>
        <v>6300</v>
      </c>
      <c r="G89" s="20"/>
      <c r="H89" s="20">
        <f t="shared" si="16"/>
        <v>0</v>
      </c>
      <c r="I89" s="20"/>
      <c r="J89" s="20">
        <f t="shared" si="17"/>
        <v>0</v>
      </c>
      <c r="L89" s="21">
        <f t="shared" si="18"/>
        <v>0</v>
      </c>
      <c r="M89" s="24"/>
      <c r="N89" s="21">
        <f t="shared" si="19"/>
        <v>0</v>
      </c>
      <c r="O89" s="21"/>
      <c r="P89" s="21"/>
      <c r="Q89" s="20">
        <f t="shared" si="20"/>
        <v>6</v>
      </c>
      <c r="R89" s="21">
        <f t="shared" si="21"/>
        <v>6300</v>
      </c>
    </row>
    <row r="90" spans="1:18" s="17" customFormat="1" ht="30" customHeight="1">
      <c r="A90" s="16">
        <f t="shared" si="14"/>
        <v>78</v>
      </c>
      <c r="B90" s="17" t="s">
        <v>110</v>
      </c>
      <c r="C90" s="18" t="s">
        <v>123</v>
      </c>
      <c r="D90" s="18">
        <v>5</v>
      </c>
      <c r="E90" s="19">
        <v>8100</v>
      </c>
      <c r="F90" s="19">
        <f t="shared" si="22"/>
        <v>40500</v>
      </c>
      <c r="G90" s="20"/>
      <c r="H90" s="20">
        <f t="shared" si="16"/>
        <v>0</v>
      </c>
      <c r="I90" s="20"/>
      <c r="J90" s="20">
        <f t="shared" si="17"/>
        <v>0</v>
      </c>
      <c r="L90" s="21">
        <f t="shared" si="18"/>
        <v>0</v>
      </c>
      <c r="M90" s="24"/>
      <c r="N90" s="21">
        <f t="shared" si="19"/>
        <v>0</v>
      </c>
      <c r="O90" s="21"/>
      <c r="P90" s="21"/>
      <c r="Q90" s="20">
        <f t="shared" si="20"/>
        <v>5</v>
      </c>
      <c r="R90" s="21">
        <f t="shared" si="21"/>
        <v>40500</v>
      </c>
    </row>
    <row r="91" spans="1:18" s="17" customFormat="1" ht="30" customHeight="1">
      <c r="A91" s="16">
        <f t="shared" si="14"/>
        <v>79</v>
      </c>
      <c r="B91" s="17" t="s">
        <v>111</v>
      </c>
      <c r="C91" s="18" t="s">
        <v>123</v>
      </c>
      <c r="D91" s="18">
        <v>135</v>
      </c>
      <c r="E91" s="19">
        <v>4500</v>
      </c>
      <c r="F91" s="19">
        <f t="shared" si="22"/>
        <v>607500</v>
      </c>
      <c r="G91" s="20"/>
      <c r="H91" s="20">
        <f t="shared" ref="H91:H102" si="23">G91*E91</f>
        <v>0</v>
      </c>
      <c r="I91" s="20"/>
      <c r="J91" s="20">
        <f t="shared" ref="J91:J102" si="24">I91*E91</f>
        <v>0</v>
      </c>
      <c r="L91" s="21">
        <f t="shared" ref="L91:L102" si="25">K91*E91</f>
        <v>0</v>
      </c>
      <c r="M91" s="22"/>
      <c r="N91" s="21">
        <f t="shared" ref="N91:N102" si="26">M91*E91</f>
        <v>0</v>
      </c>
      <c r="O91" s="21"/>
      <c r="P91" s="21"/>
      <c r="Q91" s="20">
        <f t="shared" ref="Q91:Q102" si="27">D91-G91-I91-K91-M91-O91</f>
        <v>135</v>
      </c>
      <c r="R91" s="21">
        <f t="shared" ref="R91:R102" si="28">Q91*E91</f>
        <v>607500</v>
      </c>
    </row>
    <row r="92" spans="1:18" s="17" customFormat="1" ht="30" customHeight="1">
      <c r="A92" s="16">
        <f t="shared" si="14"/>
        <v>80</v>
      </c>
      <c r="B92" s="17" t="s">
        <v>112</v>
      </c>
      <c r="C92" s="18" t="s">
        <v>123</v>
      </c>
      <c r="D92" s="18">
        <v>2</v>
      </c>
      <c r="E92" s="63">
        <v>65000</v>
      </c>
      <c r="F92" s="19">
        <f t="shared" si="22"/>
        <v>130000</v>
      </c>
      <c r="G92" s="20"/>
      <c r="H92" s="20">
        <f t="shared" si="23"/>
        <v>0</v>
      </c>
      <c r="I92" s="20"/>
      <c r="J92" s="20">
        <f t="shared" si="24"/>
        <v>0</v>
      </c>
      <c r="L92" s="21">
        <f t="shared" si="25"/>
        <v>0</v>
      </c>
      <c r="M92" s="22"/>
      <c r="N92" s="21">
        <f t="shared" si="26"/>
        <v>0</v>
      </c>
      <c r="O92" s="21"/>
      <c r="P92" s="21"/>
      <c r="Q92" s="20">
        <f t="shared" si="27"/>
        <v>2</v>
      </c>
      <c r="R92" s="21">
        <f t="shared" si="28"/>
        <v>130000</v>
      </c>
    </row>
    <row r="93" spans="1:18" s="17" customFormat="1" ht="30" customHeight="1">
      <c r="A93" s="16">
        <f t="shared" si="14"/>
        <v>81</v>
      </c>
      <c r="B93" s="17" t="s">
        <v>113</v>
      </c>
      <c r="C93" s="18" t="s">
        <v>123</v>
      </c>
      <c r="D93" s="18">
        <v>2</v>
      </c>
      <c r="E93" s="19">
        <v>35000</v>
      </c>
      <c r="F93" s="19">
        <f t="shared" si="22"/>
        <v>70000</v>
      </c>
      <c r="G93" s="20"/>
      <c r="H93" s="20">
        <f t="shared" si="23"/>
        <v>0</v>
      </c>
      <c r="I93" s="20"/>
      <c r="J93" s="20">
        <f t="shared" si="24"/>
        <v>0</v>
      </c>
      <c r="L93" s="21">
        <f t="shared" si="25"/>
        <v>0</v>
      </c>
      <c r="M93" s="22"/>
      <c r="N93" s="21">
        <f t="shared" si="26"/>
        <v>0</v>
      </c>
      <c r="O93" s="21"/>
      <c r="P93" s="21"/>
      <c r="Q93" s="20">
        <f t="shared" si="27"/>
        <v>2</v>
      </c>
      <c r="R93" s="21">
        <f t="shared" si="28"/>
        <v>70000</v>
      </c>
    </row>
    <row r="94" spans="1:18" s="17" customFormat="1" ht="30" customHeight="1">
      <c r="A94" s="16">
        <f t="shared" si="14"/>
        <v>82</v>
      </c>
      <c r="B94" s="17" t="s">
        <v>114</v>
      </c>
      <c r="C94" s="18" t="s">
        <v>123</v>
      </c>
      <c r="D94" s="18">
        <v>2</v>
      </c>
      <c r="E94" s="19">
        <v>18000</v>
      </c>
      <c r="F94" s="19">
        <f t="shared" si="22"/>
        <v>36000</v>
      </c>
      <c r="G94" s="20"/>
      <c r="H94" s="20">
        <f t="shared" si="23"/>
        <v>0</v>
      </c>
      <c r="I94" s="20"/>
      <c r="J94" s="20">
        <f t="shared" si="24"/>
        <v>0</v>
      </c>
      <c r="L94" s="21">
        <f t="shared" si="25"/>
        <v>0</v>
      </c>
      <c r="M94" s="22"/>
      <c r="N94" s="21">
        <f t="shared" si="26"/>
        <v>0</v>
      </c>
      <c r="O94" s="21"/>
      <c r="P94" s="21"/>
      <c r="Q94" s="20">
        <f t="shared" si="27"/>
        <v>2</v>
      </c>
      <c r="R94" s="21">
        <f t="shared" si="28"/>
        <v>36000</v>
      </c>
    </row>
    <row r="95" spans="1:18" s="17" customFormat="1" ht="30" customHeight="1">
      <c r="A95" s="16">
        <f t="shared" si="14"/>
        <v>83</v>
      </c>
      <c r="B95" s="17" t="s">
        <v>115</v>
      </c>
      <c r="C95" s="18" t="s">
        <v>123</v>
      </c>
      <c r="D95" s="18">
        <v>4</v>
      </c>
      <c r="E95" s="19">
        <v>120</v>
      </c>
      <c r="F95" s="19">
        <f t="shared" si="22"/>
        <v>480</v>
      </c>
      <c r="G95" s="20"/>
      <c r="H95" s="20">
        <f t="shared" si="23"/>
        <v>0</v>
      </c>
      <c r="I95" s="20"/>
      <c r="J95" s="20">
        <f t="shared" si="24"/>
        <v>0</v>
      </c>
      <c r="L95" s="21">
        <f t="shared" si="25"/>
        <v>0</v>
      </c>
      <c r="M95" s="22"/>
      <c r="N95" s="21">
        <f t="shared" si="26"/>
        <v>0</v>
      </c>
      <c r="O95" s="21"/>
      <c r="P95" s="21"/>
      <c r="Q95" s="20">
        <f t="shared" si="27"/>
        <v>4</v>
      </c>
      <c r="R95" s="21">
        <f t="shared" si="28"/>
        <v>480</v>
      </c>
    </row>
    <row r="96" spans="1:18" s="17" customFormat="1" ht="30" customHeight="1">
      <c r="A96" s="16">
        <f t="shared" si="14"/>
        <v>84</v>
      </c>
      <c r="B96" s="17" t="s">
        <v>116</v>
      </c>
      <c r="C96" s="18" t="s">
        <v>123</v>
      </c>
      <c r="D96" s="18">
        <v>2</v>
      </c>
      <c r="E96" s="19">
        <v>1000</v>
      </c>
      <c r="F96" s="19">
        <f t="shared" si="22"/>
        <v>2000</v>
      </c>
      <c r="G96" s="20"/>
      <c r="H96" s="20">
        <f t="shared" si="23"/>
        <v>0</v>
      </c>
      <c r="I96" s="20"/>
      <c r="J96" s="20">
        <f t="shared" si="24"/>
        <v>0</v>
      </c>
      <c r="L96" s="21">
        <f t="shared" si="25"/>
        <v>0</v>
      </c>
      <c r="M96" s="22"/>
      <c r="N96" s="21">
        <f t="shared" si="26"/>
        <v>0</v>
      </c>
      <c r="O96" s="21"/>
      <c r="P96" s="21"/>
      <c r="Q96" s="20">
        <f t="shared" si="27"/>
        <v>2</v>
      </c>
      <c r="R96" s="21">
        <f t="shared" si="28"/>
        <v>2000</v>
      </c>
    </row>
    <row r="97" spans="1:18" s="17" customFormat="1" ht="30" customHeight="1">
      <c r="A97" s="16">
        <f t="shared" si="14"/>
        <v>85</v>
      </c>
      <c r="B97" s="17" t="s">
        <v>117</v>
      </c>
      <c r="C97" s="18" t="s">
        <v>123</v>
      </c>
      <c r="D97" s="18">
        <v>5</v>
      </c>
      <c r="E97" s="19">
        <v>15000</v>
      </c>
      <c r="F97" s="19">
        <f t="shared" si="22"/>
        <v>75000</v>
      </c>
      <c r="G97" s="20"/>
      <c r="H97" s="20">
        <f t="shared" si="23"/>
        <v>0</v>
      </c>
      <c r="I97" s="20"/>
      <c r="J97" s="20">
        <f t="shared" si="24"/>
        <v>0</v>
      </c>
      <c r="L97" s="21">
        <f t="shared" si="25"/>
        <v>0</v>
      </c>
      <c r="M97" s="22"/>
      <c r="N97" s="21">
        <f t="shared" si="26"/>
        <v>0</v>
      </c>
      <c r="O97" s="21"/>
      <c r="P97" s="21"/>
      <c r="Q97" s="20">
        <f t="shared" si="27"/>
        <v>5</v>
      </c>
      <c r="R97" s="21">
        <f t="shared" si="28"/>
        <v>75000</v>
      </c>
    </row>
    <row r="98" spans="1:18" s="17" customFormat="1" ht="30" customHeight="1">
      <c r="A98" s="16">
        <f t="shared" si="14"/>
        <v>86</v>
      </c>
      <c r="B98" s="17" t="s">
        <v>118</v>
      </c>
      <c r="C98" s="18" t="s">
        <v>126</v>
      </c>
      <c r="D98" s="18">
        <v>3500</v>
      </c>
      <c r="E98" s="19">
        <v>50</v>
      </c>
      <c r="F98" s="19">
        <f t="shared" si="22"/>
        <v>175000</v>
      </c>
      <c r="G98" s="20"/>
      <c r="H98" s="20">
        <f t="shared" si="23"/>
        <v>0</v>
      </c>
      <c r="I98" s="20"/>
      <c r="J98" s="20">
        <f t="shared" si="24"/>
        <v>0</v>
      </c>
      <c r="L98" s="21">
        <f t="shared" si="25"/>
        <v>0</v>
      </c>
      <c r="M98" s="22"/>
      <c r="N98" s="21">
        <f t="shared" si="26"/>
        <v>0</v>
      </c>
      <c r="O98" s="21"/>
      <c r="P98" s="21"/>
      <c r="Q98" s="20">
        <f t="shared" si="27"/>
        <v>3500</v>
      </c>
      <c r="R98" s="21">
        <f t="shared" si="28"/>
        <v>175000</v>
      </c>
    </row>
    <row r="99" spans="1:18" s="17" customFormat="1" ht="30" customHeight="1">
      <c r="A99" s="16">
        <f t="shared" si="14"/>
        <v>87</v>
      </c>
      <c r="B99" s="17" t="s">
        <v>119</v>
      </c>
      <c r="C99" s="18" t="s">
        <v>123</v>
      </c>
      <c r="D99" s="18">
        <v>50</v>
      </c>
      <c r="E99" s="19">
        <v>60</v>
      </c>
      <c r="F99" s="19">
        <f t="shared" si="22"/>
        <v>3000</v>
      </c>
      <c r="G99" s="20"/>
      <c r="H99" s="20">
        <f t="shared" si="23"/>
        <v>0</v>
      </c>
      <c r="I99" s="20"/>
      <c r="J99" s="20">
        <f t="shared" si="24"/>
        <v>0</v>
      </c>
      <c r="L99" s="21">
        <f t="shared" si="25"/>
        <v>0</v>
      </c>
      <c r="M99" s="22"/>
      <c r="N99" s="21">
        <f t="shared" si="26"/>
        <v>0</v>
      </c>
      <c r="O99" s="21"/>
      <c r="P99" s="21"/>
      <c r="Q99" s="20">
        <f t="shared" si="27"/>
        <v>50</v>
      </c>
      <c r="R99" s="21">
        <f t="shared" si="28"/>
        <v>3000</v>
      </c>
    </row>
    <row r="100" spans="1:18" s="17" customFormat="1" ht="30" customHeight="1">
      <c r="A100" s="16">
        <f t="shared" si="14"/>
        <v>88</v>
      </c>
      <c r="B100" s="17" t="s">
        <v>120</v>
      </c>
      <c r="C100" s="18" t="s">
        <v>123</v>
      </c>
      <c r="D100" s="18">
        <v>35</v>
      </c>
      <c r="E100" s="19">
        <v>2000</v>
      </c>
      <c r="F100" s="19">
        <f t="shared" si="22"/>
        <v>70000</v>
      </c>
      <c r="G100" s="20"/>
      <c r="H100" s="20">
        <f t="shared" si="23"/>
        <v>0</v>
      </c>
      <c r="I100" s="20"/>
      <c r="J100" s="20">
        <f t="shared" si="24"/>
        <v>0</v>
      </c>
      <c r="L100" s="21">
        <f t="shared" si="25"/>
        <v>0</v>
      </c>
      <c r="M100" s="22"/>
      <c r="N100" s="21">
        <f t="shared" si="26"/>
        <v>0</v>
      </c>
      <c r="O100" s="21"/>
      <c r="P100" s="21"/>
      <c r="Q100" s="20">
        <f t="shared" si="27"/>
        <v>35</v>
      </c>
      <c r="R100" s="21">
        <f t="shared" si="28"/>
        <v>70000</v>
      </c>
    </row>
    <row r="101" spans="1:18" s="17" customFormat="1" ht="30" customHeight="1">
      <c r="A101" s="16">
        <f t="shared" si="14"/>
        <v>89</v>
      </c>
      <c r="B101" s="17" t="s">
        <v>121</v>
      </c>
      <c r="C101" s="18" t="s">
        <v>123</v>
      </c>
      <c r="D101" s="18">
        <v>10</v>
      </c>
      <c r="E101" s="19">
        <v>8000</v>
      </c>
      <c r="F101" s="19">
        <f t="shared" si="22"/>
        <v>80000</v>
      </c>
      <c r="G101" s="20"/>
      <c r="H101" s="20">
        <f t="shared" si="23"/>
        <v>0</v>
      </c>
      <c r="I101" s="20"/>
      <c r="J101" s="20">
        <f t="shared" si="24"/>
        <v>0</v>
      </c>
      <c r="L101" s="21">
        <f t="shared" si="25"/>
        <v>0</v>
      </c>
      <c r="M101" s="22"/>
      <c r="N101" s="21">
        <f t="shared" si="26"/>
        <v>0</v>
      </c>
      <c r="O101" s="21"/>
      <c r="P101" s="21"/>
      <c r="Q101" s="20">
        <f t="shared" si="27"/>
        <v>10</v>
      </c>
      <c r="R101" s="21">
        <f t="shared" si="28"/>
        <v>80000</v>
      </c>
    </row>
    <row r="102" spans="1:18" s="17" customFormat="1" ht="30" customHeight="1">
      <c r="A102" s="16">
        <f t="shared" si="14"/>
        <v>90</v>
      </c>
      <c r="B102" s="17" t="s">
        <v>122</v>
      </c>
      <c r="C102" s="18" t="s">
        <v>123</v>
      </c>
      <c r="D102" s="18">
        <v>100</v>
      </c>
      <c r="E102" s="19">
        <v>400</v>
      </c>
      <c r="F102" s="19">
        <f t="shared" si="22"/>
        <v>40000</v>
      </c>
      <c r="G102" s="20"/>
      <c r="H102" s="20">
        <f t="shared" si="23"/>
        <v>0</v>
      </c>
      <c r="I102" s="20"/>
      <c r="J102" s="20">
        <f t="shared" si="24"/>
        <v>0</v>
      </c>
      <c r="L102" s="21">
        <f t="shared" si="25"/>
        <v>0</v>
      </c>
      <c r="M102" s="22"/>
      <c r="N102" s="21">
        <f t="shared" si="26"/>
        <v>0</v>
      </c>
      <c r="O102" s="21"/>
      <c r="P102" s="21"/>
      <c r="Q102" s="20">
        <f t="shared" si="27"/>
        <v>100</v>
      </c>
      <c r="R102" s="21">
        <f t="shared" si="28"/>
        <v>40000</v>
      </c>
    </row>
    <row r="103" spans="1:18" s="17" customFormat="1" ht="30" customHeight="1">
      <c r="A103" s="74" t="s">
        <v>19</v>
      </c>
      <c r="B103" s="75"/>
      <c r="C103" s="76"/>
      <c r="D103" s="25"/>
      <c r="E103" s="26"/>
      <c r="F103" s="26">
        <f>SUM(F13:F102)</f>
        <v>4841262.5</v>
      </c>
      <c r="G103" s="27"/>
      <c r="H103" s="27">
        <f>SUM(H13:H102)</f>
        <v>0</v>
      </c>
      <c r="I103" s="27"/>
      <c r="J103" s="27">
        <f>SUM(J13:J102)</f>
        <v>0</v>
      </c>
      <c r="K103" s="28"/>
      <c r="L103" s="29">
        <f>SUM(L13:L102)</f>
        <v>0</v>
      </c>
      <c r="M103" s="30"/>
      <c r="N103" s="29">
        <f>SUM(N13:N102)</f>
        <v>0</v>
      </c>
      <c r="O103" s="29"/>
      <c r="P103" s="29">
        <f>SUM(N103:O103)</f>
        <v>0</v>
      </c>
      <c r="Q103" s="30">
        <f>SUM(Q13:Q102)</f>
        <v>18390</v>
      </c>
      <c r="R103" s="29">
        <f>SUM(R13:R102)</f>
        <v>4841262.5</v>
      </c>
    </row>
    <row r="104" spans="1:18" s="32" customFormat="1" ht="30" customHeight="1">
      <c r="A104" s="31" t="s">
        <v>1</v>
      </c>
      <c r="C104" s="33"/>
      <c r="D104" s="33"/>
      <c r="E104" s="34"/>
      <c r="G104" s="35"/>
      <c r="H104" s="35"/>
      <c r="I104" s="35"/>
      <c r="J104" s="35"/>
      <c r="K104" s="35"/>
      <c r="L104" s="35"/>
      <c r="M104" s="36"/>
      <c r="N104" s="35"/>
      <c r="O104" s="35"/>
      <c r="P104" s="35"/>
      <c r="Q104" s="35"/>
      <c r="R104" s="35"/>
    </row>
    <row r="105" spans="1:18" s="17" customFormat="1" ht="30" customHeight="1">
      <c r="A105" s="16">
        <v>1</v>
      </c>
      <c r="B105" s="17" t="s">
        <v>127</v>
      </c>
      <c r="C105" s="18" t="s">
        <v>251</v>
      </c>
      <c r="D105" s="37">
        <v>3000000</v>
      </c>
      <c r="E105" s="23">
        <v>3.5</v>
      </c>
      <c r="F105" s="19">
        <f t="shared" ref="F105:F223" si="29">E105*D105</f>
        <v>10500000</v>
      </c>
      <c r="G105" s="20"/>
      <c r="H105" s="20">
        <f t="shared" ref="H105:H223" si="30">G105*E105</f>
        <v>0</v>
      </c>
      <c r="I105" s="20"/>
      <c r="J105" s="20">
        <f t="shared" ref="J105:J223" si="31">I105*E105</f>
        <v>0</v>
      </c>
      <c r="K105" s="24"/>
      <c r="L105" s="21">
        <f t="shared" ref="L105:L223" si="32">K105*E105</f>
        <v>0</v>
      </c>
      <c r="M105" s="24"/>
      <c r="N105" s="21">
        <f t="shared" ref="N105:N223" si="33">M105*E105</f>
        <v>0</v>
      </c>
      <c r="O105" s="24"/>
      <c r="P105" s="21">
        <f>O105*E105</f>
        <v>0</v>
      </c>
      <c r="Q105" s="42">
        <f>D105-G105-I105-K105-M105-O105</f>
        <v>3000000</v>
      </c>
      <c r="R105" s="21">
        <f>Q105*E105</f>
        <v>10500000</v>
      </c>
    </row>
    <row r="106" spans="1:18" s="17" customFormat="1" ht="30" customHeight="1">
      <c r="A106" s="16">
        <f>A105+1</f>
        <v>2</v>
      </c>
      <c r="B106" s="17" t="s">
        <v>128</v>
      </c>
      <c r="C106" s="18" t="s">
        <v>251</v>
      </c>
      <c r="D106" s="38">
        <v>600000</v>
      </c>
      <c r="E106" s="19">
        <v>0.5</v>
      </c>
      <c r="F106" s="19">
        <f t="shared" si="29"/>
        <v>300000</v>
      </c>
      <c r="G106" s="20"/>
      <c r="H106" s="20">
        <f t="shared" si="30"/>
        <v>0</v>
      </c>
      <c r="I106" s="20"/>
      <c r="J106" s="20">
        <f t="shared" si="31"/>
        <v>0</v>
      </c>
      <c r="K106" s="22"/>
      <c r="L106" s="21">
        <f t="shared" si="32"/>
        <v>0</v>
      </c>
      <c r="M106" s="22"/>
      <c r="N106" s="21">
        <f t="shared" si="33"/>
        <v>0</v>
      </c>
      <c r="O106" s="24"/>
      <c r="P106" s="21">
        <f t="shared" ref="P106:P228" si="34">O106*E106</f>
        <v>0</v>
      </c>
      <c r="Q106" s="20">
        <f t="shared" ref="Q106:Q223" si="35">D106-G106-I106-K106-M106-O106</f>
        <v>600000</v>
      </c>
      <c r="R106" s="21">
        <f t="shared" ref="R106:R223" si="36">Q106*E106</f>
        <v>300000</v>
      </c>
    </row>
    <row r="107" spans="1:18" s="17" customFormat="1" ht="30" customHeight="1">
      <c r="A107" s="16">
        <f>A106+1</f>
        <v>3</v>
      </c>
      <c r="B107" s="17" t="s">
        <v>129</v>
      </c>
      <c r="C107" s="18" t="s">
        <v>251</v>
      </c>
      <c r="D107" s="38">
        <v>800000</v>
      </c>
      <c r="E107" s="19">
        <v>1.5</v>
      </c>
      <c r="F107" s="19">
        <f t="shared" si="29"/>
        <v>1200000</v>
      </c>
      <c r="G107" s="20"/>
      <c r="H107" s="20">
        <f t="shared" si="30"/>
        <v>0</v>
      </c>
      <c r="I107" s="20"/>
      <c r="J107" s="20">
        <f t="shared" si="31"/>
        <v>0</v>
      </c>
      <c r="K107" s="22"/>
      <c r="L107" s="21">
        <f t="shared" si="32"/>
        <v>0</v>
      </c>
      <c r="M107" s="22"/>
      <c r="N107" s="21">
        <f t="shared" si="33"/>
        <v>0</v>
      </c>
      <c r="O107" s="24"/>
      <c r="P107" s="21">
        <f t="shared" si="34"/>
        <v>0</v>
      </c>
      <c r="Q107" s="20">
        <f t="shared" si="35"/>
        <v>800000</v>
      </c>
      <c r="R107" s="21">
        <f t="shared" si="36"/>
        <v>1200000</v>
      </c>
    </row>
    <row r="108" spans="1:18" s="17" customFormat="1" ht="30" customHeight="1">
      <c r="A108" s="16">
        <f t="shared" ref="A108:A171" si="37">A107+1</f>
        <v>4</v>
      </c>
      <c r="B108" s="17" t="s">
        <v>130</v>
      </c>
      <c r="C108" s="18" t="s">
        <v>251</v>
      </c>
      <c r="D108" s="38">
        <v>3500000</v>
      </c>
      <c r="E108" s="19">
        <v>4.5</v>
      </c>
      <c r="F108" s="19">
        <f t="shared" si="29"/>
        <v>15750000</v>
      </c>
      <c r="G108" s="20"/>
      <c r="H108" s="20">
        <f t="shared" si="30"/>
        <v>0</v>
      </c>
      <c r="I108" s="20"/>
      <c r="J108" s="20">
        <f t="shared" si="31"/>
        <v>0</v>
      </c>
      <c r="K108" s="22"/>
      <c r="L108" s="21">
        <f t="shared" si="32"/>
        <v>0</v>
      </c>
      <c r="M108" s="22"/>
      <c r="N108" s="21">
        <f t="shared" si="33"/>
        <v>0</v>
      </c>
      <c r="O108" s="24"/>
      <c r="P108" s="21">
        <f t="shared" si="34"/>
        <v>0</v>
      </c>
      <c r="Q108" s="20">
        <f t="shared" si="35"/>
        <v>3500000</v>
      </c>
      <c r="R108" s="21">
        <f t="shared" si="36"/>
        <v>15750000</v>
      </c>
    </row>
    <row r="109" spans="1:18" s="17" customFormat="1" ht="30" customHeight="1">
      <c r="A109" s="16">
        <f t="shared" si="37"/>
        <v>5</v>
      </c>
      <c r="B109" s="17" t="s">
        <v>131</v>
      </c>
      <c r="C109" s="18" t="s">
        <v>252</v>
      </c>
      <c r="D109" s="38">
        <v>1500000</v>
      </c>
      <c r="E109" s="19">
        <v>0.25</v>
      </c>
      <c r="F109" s="19">
        <f t="shared" si="29"/>
        <v>375000</v>
      </c>
      <c r="G109" s="20"/>
      <c r="H109" s="20">
        <f t="shared" si="30"/>
        <v>0</v>
      </c>
      <c r="I109" s="20"/>
      <c r="J109" s="20">
        <f t="shared" si="31"/>
        <v>0</v>
      </c>
      <c r="K109" s="22"/>
      <c r="L109" s="21">
        <f t="shared" si="32"/>
        <v>0</v>
      </c>
      <c r="M109" s="22"/>
      <c r="N109" s="21">
        <f t="shared" si="33"/>
        <v>0</v>
      </c>
      <c r="O109" s="24"/>
      <c r="P109" s="21">
        <f t="shared" si="34"/>
        <v>0</v>
      </c>
      <c r="Q109" s="20">
        <f t="shared" si="35"/>
        <v>1500000</v>
      </c>
      <c r="R109" s="21">
        <f t="shared" si="36"/>
        <v>375000</v>
      </c>
    </row>
    <row r="110" spans="1:18" s="17" customFormat="1" ht="30" customHeight="1">
      <c r="A110" s="16">
        <f t="shared" si="37"/>
        <v>6</v>
      </c>
      <c r="B110" s="17" t="s">
        <v>132</v>
      </c>
      <c r="C110" s="18" t="s">
        <v>252</v>
      </c>
      <c r="D110" s="38">
        <v>360000</v>
      </c>
      <c r="E110" s="19">
        <v>0.2</v>
      </c>
      <c r="F110" s="19">
        <f t="shared" si="29"/>
        <v>72000</v>
      </c>
      <c r="G110" s="20"/>
      <c r="H110" s="20">
        <f t="shared" si="30"/>
        <v>0</v>
      </c>
      <c r="I110" s="20"/>
      <c r="J110" s="20">
        <f t="shared" si="31"/>
        <v>0</v>
      </c>
      <c r="K110" s="22"/>
      <c r="L110" s="21">
        <f t="shared" si="32"/>
        <v>0</v>
      </c>
      <c r="M110" s="22"/>
      <c r="N110" s="21">
        <f t="shared" si="33"/>
        <v>0</v>
      </c>
      <c r="O110" s="24"/>
      <c r="P110" s="21">
        <f t="shared" si="34"/>
        <v>0</v>
      </c>
      <c r="Q110" s="20">
        <f t="shared" si="35"/>
        <v>360000</v>
      </c>
      <c r="R110" s="21">
        <f t="shared" si="36"/>
        <v>72000</v>
      </c>
    </row>
    <row r="111" spans="1:18" s="17" customFormat="1" ht="30" customHeight="1">
      <c r="A111" s="16">
        <f t="shared" si="37"/>
        <v>7</v>
      </c>
      <c r="B111" s="17" t="s">
        <v>133</v>
      </c>
      <c r="C111" s="18" t="s">
        <v>252</v>
      </c>
      <c r="D111" s="38">
        <v>250000</v>
      </c>
      <c r="E111" s="19">
        <v>1.5</v>
      </c>
      <c r="F111" s="19">
        <f t="shared" si="29"/>
        <v>375000</v>
      </c>
      <c r="G111" s="20"/>
      <c r="H111" s="20">
        <f t="shared" si="30"/>
        <v>0</v>
      </c>
      <c r="I111" s="20"/>
      <c r="J111" s="20">
        <f t="shared" si="31"/>
        <v>0</v>
      </c>
      <c r="K111" s="22"/>
      <c r="L111" s="21">
        <f t="shared" si="32"/>
        <v>0</v>
      </c>
      <c r="M111" s="22"/>
      <c r="N111" s="21">
        <f t="shared" si="33"/>
        <v>0</v>
      </c>
      <c r="O111" s="24"/>
      <c r="P111" s="21">
        <f t="shared" si="34"/>
        <v>0</v>
      </c>
      <c r="Q111" s="20">
        <f t="shared" si="35"/>
        <v>250000</v>
      </c>
      <c r="R111" s="21">
        <f t="shared" si="36"/>
        <v>375000</v>
      </c>
    </row>
    <row r="112" spans="1:18" s="17" customFormat="1" ht="30" customHeight="1">
      <c r="A112" s="16">
        <f t="shared" si="37"/>
        <v>8</v>
      </c>
      <c r="B112" s="17" t="s">
        <v>134</v>
      </c>
      <c r="C112" s="18" t="s">
        <v>252</v>
      </c>
      <c r="D112" s="38">
        <v>250000</v>
      </c>
      <c r="E112" s="19">
        <v>0.3</v>
      </c>
      <c r="F112" s="19">
        <f t="shared" si="29"/>
        <v>75000</v>
      </c>
      <c r="G112" s="20"/>
      <c r="H112" s="20">
        <f t="shared" si="30"/>
        <v>0</v>
      </c>
      <c r="I112" s="20"/>
      <c r="J112" s="20">
        <f t="shared" si="31"/>
        <v>0</v>
      </c>
      <c r="K112" s="22"/>
      <c r="L112" s="21">
        <f t="shared" si="32"/>
        <v>0</v>
      </c>
      <c r="M112" s="22"/>
      <c r="N112" s="21">
        <f t="shared" si="33"/>
        <v>0</v>
      </c>
      <c r="O112" s="24"/>
      <c r="P112" s="21">
        <f t="shared" si="34"/>
        <v>0</v>
      </c>
      <c r="Q112" s="20">
        <f t="shared" si="35"/>
        <v>250000</v>
      </c>
      <c r="R112" s="21">
        <f t="shared" si="36"/>
        <v>75000</v>
      </c>
    </row>
    <row r="113" spans="1:18" s="17" customFormat="1" ht="30" customHeight="1">
      <c r="A113" s="16">
        <f t="shared" si="37"/>
        <v>9</v>
      </c>
      <c r="B113" s="17" t="s">
        <v>135</v>
      </c>
      <c r="C113" s="18" t="s">
        <v>252</v>
      </c>
      <c r="D113" s="38">
        <v>135000</v>
      </c>
      <c r="E113" s="19">
        <v>0.25</v>
      </c>
      <c r="F113" s="19">
        <f t="shared" si="29"/>
        <v>33750</v>
      </c>
      <c r="G113" s="20"/>
      <c r="H113" s="20">
        <f t="shared" si="30"/>
        <v>0</v>
      </c>
      <c r="I113" s="20"/>
      <c r="J113" s="20">
        <f t="shared" si="31"/>
        <v>0</v>
      </c>
      <c r="K113" s="22"/>
      <c r="L113" s="21">
        <f t="shared" si="32"/>
        <v>0</v>
      </c>
      <c r="M113" s="22"/>
      <c r="N113" s="21">
        <f t="shared" si="33"/>
        <v>0</v>
      </c>
      <c r="O113" s="24"/>
      <c r="P113" s="21">
        <f t="shared" si="34"/>
        <v>0</v>
      </c>
      <c r="Q113" s="20">
        <f t="shared" si="35"/>
        <v>135000</v>
      </c>
      <c r="R113" s="21">
        <f t="shared" si="36"/>
        <v>33750</v>
      </c>
    </row>
    <row r="114" spans="1:18" s="17" customFormat="1" ht="30" customHeight="1">
      <c r="A114" s="16">
        <f t="shared" si="37"/>
        <v>10</v>
      </c>
      <c r="B114" s="17" t="s">
        <v>136</v>
      </c>
      <c r="C114" s="18" t="s">
        <v>251</v>
      </c>
      <c r="D114" s="37">
        <v>500000</v>
      </c>
      <c r="E114" s="23">
        <v>2.5</v>
      </c>
      <c r="F114" s="19">
        <f t="shared" si="29"/>
        <v>1250000</v>
      </c>
      <c r="G114" s="20"/>
      <c r="H114" s="20">
        <f t="shared" si="30"/>
        <v>0</v>
      </c>
      <c r="I114" s="20"/>
      <c r="J114" s="20">
        <f t="shared" si="31"/>
        <v>0</v>
      </c>
      <c r="K114" s="24"/>
      <c r="L114" s="21">
        <f t="shared" si="32"/>
        <v>0</v>
      </c>
      <c r="M114" s="24"/>
      <c r="N114" s="21">
        <f t="shared" si="33"/>
        <v>0</v>
      </c>
      <c r="O114" s="24"/>
      <c r="P114" s="21">
        <f t="shared" si="34"/>
        <v>0</v>
      </c>
      <c r="Q114" s="20">
        <f t="shared" si="35"/>
        <v>500000</v>
      </c>
      <c r="R114" s="21">
        <f t="shared" si="36"/>
        <v>1250000</v>
      </c>
    </row>
    <row r="115" spans="1:18" s="17" customFormat="1" ht="30" customHeight="1">
      <c r="A115" s="16">
        <f t="shared" si="37"/>
        <v>11</v>
      </c>
      <c r="B115" s="17" t="s">
        <v>137</v>
      </c>
      <c r="C115" s="18" t="s">
        <v>251</v>
      </c>
      <c r="D115" s="38">
        <v>45000</v>
      </c>
      <c r="E115" s="19">
        <v>4</v>
      </c>
      <c r="F115" s="19">
        <f t="shared" si="29"/>
        <v>180000</v>
      </c>
      <c r="G115" s="20"/>
      <c r="H115" s="20">
        <f t="shared" si="30"/>
        <v>0</v>
      </c>
      <c r="I115" s="20"/>
      <c r="J115" s="20">
        <f t="shared" si="31"/>
        <v>0</v>
      </c>
      <c r="K115" s="22"/>
      <c r="L115" s="21">
        <f t="shared" si="32"/>
        <v>0</v>
      </c>
      <c r="M115" s="22"/>
      <c r="N115" s="21">
        <f t="shared" si="33"/>
        <v>0</v>
      </c>
      <c r="O115" s="24"/>
      <c r="P115" s="21">
        <f t="shared" si="34"/>
        <v>0</v>
      </c>
      <c r="Q115" s="20">
        <f t="shared" si="35"/>
        <v>45000</v>
      </c>
      <c r="R115" s="21">
        <f t="shared" si="36"/>
        <v>180000</v>
      </c>
    </row>
    <row r="116" spans="1:18" s="17" customFormat="1" ht="30" customHeight="1">
      <c r="A116" s="16">
        <f t="shared" si="37"/>
        <v>12</v>
      </c>
      <c r="B116" s="17" t="s">
        <v>138</v>
      </c>
      <c r="C116" s="18" t="s">
        <v>251</v>
      </c>
      <c r="D116" s="38">
        <v>45000</v>
      </c>
      <c r="E116" s="19">
        <v>3</v>
      </c>
      <c r="F116" s="19">
        <f t="shared" si="29"/>
        <v>135000</v>
      </c>
      <c r="G116" s="20"/>
      <c r="H116" s="20">
        <f t="shared" si="30"/>
        <v>0</v>
      </c>
      <c r="I116" s="20"/>
      <c r="J116" s="20">
        <f t="shared" si="31"/>
        <v>0</v>
      </c>
      <c r="K116" s="22"/>
      <c r="L116" s="21">
        <f t="shared" si="32"/>
        <v>0</v>
      </c>
      <c r="M116" s="22"/>
      <c r="N116" s="21">
        <f t="shared" si="33"/>
        <v>0</v>
      </c>
      <c r="O116" s="24"/>
      <c r="P116" s="21">
        <f t="shared" si="34"/>
        <v>0</v>
      </c>
      <c r="Q116" s="20">
        <f t="shared" si="35"/>
        <v>45000</v>
      </c>
      <c r="R116" s="21">
        <f t="shared" si="36"/>
        <v>135000</v>
      </c>
    </row>
    <row r="117" spans="1:18" s="17" customFormat="1" ht="30" customHeight="1">
      <c r="A117" s="16">
        <f t="shared" si="37"/>
        <v>13</v>
      </c>
      <c r="B117" s="17" t="s">
        <v>139</v>
      </c>
      <c r="C117" s="18" t="s">
        <v>252</v>
      </c>
      <c r="D117" s="38">
        <v>1200000</v>
      </c>
      <c r="E117" s="19">
        <v>0.04</v>
      </c>
      <c r="F117" s="19">
        <f t="shared" si="29"/>
        <v>48000</v>
      </c>
      <c r="G117" s="20"/>
      <c r="H117" s="20">
        <f t="shared" si="30"/>
        <v>0</v>
      </c>
      <c r="I117" s="20"/>
      <c r="J117" s="20">
        <f t="shared" si="31"/>
        <v>0</v>
      </c>
      <c r="K117" s="22"/>
      <c r="L117" s="21">
        <f t="shared" si="32"/>
        <v>0</v>
      </c>
      <c r="M117" s="22"/>
      <c r="N117" s="21">
        <f t="shared" si="33"/>
        <v>0</v>
      </c>
      <c r="O117" s="24"/>
      <c r="P117" s="21">
        <f t="shared" si="34"/>
        <v>0</v>
      </c>
      <c r="Q117" s="20">
        <f t="shared" si="35"/>
        <v>1200000</v>
      </c>
      <c r="R117" s="21">
        <f t="shared" si="36"/>
        <v>48000</v>
      </c>
    </row>
    <row r="118" spans="1:18" s="17" customFormat="1" ht="30" customHeight="1">
      <c r="A118" s="16">
        <f t="shared" si="37"/>
        <v>14</v>
      </c>
      <c r="B118" s="17" t="s">
        <v>140</v>
      </c>
      <c r="C118" s="18" t="s">
        <v>253</v>
      </c>
      <c r="D118" s="38">
        <v>750000</v>
      </c>
      <c r="E118" s="19">
        <v>0.2</v>
      </c>
      <c r="F118" s="19">
        <f t="shared" si="29"/>
        <v>150000</v>
      </c>
      <c r="G118" s="20"/>
      <c r="H118" s="20">
        <f t="shared" si="30"/>
        <v>0</v>
      </c>
      <c r="I118" s="20"/>
      <c r="J118" s="20">
        <f t="shared" si="31"/>
        <v>0</v>
      </c>
      <c r="K118" s="22"/>
      <c r="L118" s="21">
        <f t="shared" si="32"/>
        <v>0</v>
      </c>
      <c r="M118" s="22"/>
      <c r="N118" s="21">
        <f t="shared" si="33"/>
        <v>0</v>
      </c>
      <c r="O118" s="24"/>
      <c r="P118" s="21">
        <f t="shared" si="34"/>
        <v>0</v>
      </c>
      <c r="Q118" s="20">
        <f t="shared" si="35"/>
        <v>750000</v>
      </c>
      <c r="R118" s="21">
        <f t="shared" si="36"/>
        <v>150000</v>
      </c>
    </row>
    <row r="119" spans="1:18" s="17" customFormat="1" ht="30" customHeight="1">
      <c r="A119" s="16">
        <f t="shared" si="37"/>
        <v>15</v>
      </c>
      <c r="B119" s="17" t="s">
        <v>141</v>
      </c>
      <c r="C119" s="18" t="s">
        <v>253</v>
      </c>
      <c r="D119" s="38">
        <v>750000</v>
      </c>
      <c r="E119" s="19">
        <v>0.2</v>
      </c>
      <c r="F119" s="19">
        <f t="shared" si="29"/>
        <v>150000</v>
      </c>
      <c r="G119" s="20"/>
      <c r="H119" s="20">
        <f t="shared" si="30"/>
        <v>0</v>
      </c>
      <c r="I119" s="20"/>
      <c r="J119" s="20">
        <f t="shared" si="31"/>
        <v>0</v>
      </c>
      <c r="K119" s="22"/>
      <c r="L119" s="21">
        <f t="shared" si="32"/>
        <v>0</v>
      </c>
      <c r="M119" s="22"/>
      <c r="N119" s="21">
        <f t="shared" si="33"/>
        <v>0</v>
      </c>
      <c r="O119" s="24"/>
      <c r="P119" s="21">
        <f t="shared" si="34"/>
        <v>0</v>
      </c>
      <c r="Q119" s="20">
        <f t="shared" si="35"/>
        <v>750000</v>
      </c>
      <c r="R119" s="21">
        <f t="shared" si="36"/>
        <v>150000</v>
      </c>
    </row>
    <row r="120" spans="1:18" s="17" customFormat="1" ht="30" customHeight="1">
      <c r="A120" s="16">
        <f t="shared" si="37"/>
        <v>16</v>
      </c>
      <c r="B120" s="17" t="s">
        <v>142</v>
      </c>
      <c r="C120" s="18" t="s">
        <v>253</v>
      </c>
      <c r="D120" s="38">
        <v>750000</v>
      </c>
      <c r="E120" s="19">
        <v>0.15</v>
      </c>
      <c r="F120" s="19">
        <f t="shared" si="29"/>
        <v>112500</v>
      </c>
      <c r="G120" s="20"/>
      <c r="H120" s="20">
        <f t="shared" si="30"/>
        <v>0</v>
      </c>
      <c r="I120" s="20"/>
      <c r="J120" s="20">
        <f t="shared" si="31"/>
        <v>0</v>
      </c>
      <c r="K120" s="22"/>
      <c r="L120" s="21">
        <f t="shared" si="32"/>
        <v>0</v>
      </c>
      <c r="M120" s="22"/>
      <c r="N120" s="21">
        <f t="shared" si="33"/>
        <v>0</v>
      </c>
      <c r="O120" s="24"/>
      <c r="P120" s="21">
        <f t="shared" si="34"/>
        <v>0</v>
      </c>
      <c r="Q120" s="20">
        <f t="shared" si="35"/>
        <v>750000</v>
      </c>
      <c r="R120" s="21">
        <f t="shared" si="36"/>
        <v>112500</v>
      </c>
    </row>
    <row r="121" spans="1:18" s="17" customFormat="1" ht="30" customHeight="1">
      <c r="A121" s="16">
        <f t="shared" si="37"/>
        <v>17</v>
      </c>
      <c r="B121" s="17" t="s">
        <v>143</v>
      </c>
      <c r="C121" s="18" t="s">
        <v>253</v>
      </c>
      <c r="D121" s="37">
        <v>500000</v>
      </c>
      <c r="E121" s="23">
        <v>0.15</v>
      </c>
      <c r="F121" s="19">
        <f t="shared" si="29"/>
        <v>75000</v>
      </c>
      <c r="G121" s="20"/>
      <c r="H121" s="20">
        <f t="shared" si="30"/>
        <v>0</v>
      </c>
      <c r="I121" s="20"/>
      <c r="J121" s="20">
        <f t="shared" si="31"/>
        <v>0</v>
      </c>
      <c r="K121" s="24"/>
      <c r="L121" s="21">
        <f t="shared" si="32"/>
        <v>0</v>
      </c>
      <c r="M121" s="24"/>
      <c r="N121" s="21">
        <f t="shared" si="33"/>
        <v>0</v>
      </c>
      <c r="O121" s="24"/>
      <c r="P121" s="21">
        <f t="shared" si="34"/>
        <v>0</v>
      </c>
      <c r="Q121" s="20">
        <f t="shared" si="35"/>
        <v>500000</v>
      </c>
      <c r="R121" s="21">
        <f t="shared" si="36"/>
        <v>75000</v>
      </c>
    </row>
    <row r="122" spans="1:18" s="17" customFormat="1" ht="30" customHeight="1">
      <c r="A122" s="16">
        <f t="shared" si="37"/>
        <v>18</v>
      </c>
      <c r="B122" s="17" t="s">
        <v>144</v>
      </c>
      <c r="C122" s="18" t="s">
        <v>253</v>
      </c>
      <c r="D122" s="37">
        <v>500000</v>
      </c>
      <c r="E122" s="23">
        <v>0.25</v>
      </c>
      <c r="F122" s="19">
        <f t="shared" si="29"/>
        <v>125000</v>
      </c>
      <c r="G122" s="20"/>
      <c r="H122" s="20">
        <f t="shared" si="30"/>
        <v>0</v>
      </c>
      <c r="I122" s="20"/>
      <c r="J122" s="20">
        <f t="shared" si="31"/>
        <v>0</v>
      </c>
      <c r="K122" s="24"/>
      <c r="L122" s="21">
        <f t="shared" si="32"/>
        <v>0</v>
      </c>
      <c r="M122" s="24"/>
      <c r="N122" s="21">
        <f t="shared" si="33"/>
        <v>0</v>
      </c>
      <c r="O122" s="24"/>
      <c r="P122" s="21">
        <f t="shared" si="34"/>
        <v>0</v>
      </c>
      <c r="Q122" s="20">
        <f t="shared" si="35"/>
        <v>500000</v>
      </c>
      <c r="R122" s="21">
        <f t="shared" si="36"/>
        <v>125000</v>
      </c>
    </row>
    <row r="123" spans="1:18" s="17" customFormat="1" ht="30" customHeight="1">
      <c r="A123" s="16">
        <f t="shared" si="37"/>
        <v>19</v>
      </c>
      <c r="B123" s="17" t="s">
        <v>145</v>
      </c>
      <c r="C123" s="18" t="s">
        <v>253</v>
      </c>
      <c r="D123" s="37">
        <v>500000</v>
      </c>
      <c r="E123" s="23">
        <v>0.25</v>
      </c>
      <c r="F123" s="19">
        <f t="shared" si="29"/>
        <v>125000</v>
      </c>
      <c r="G123" s="20"/>
      <c r="H123" s="20">
        <f t="shared" si="30"/>
        <v>0</v>
      </c>
      <c r="I123" s="20"/>
      <c r="J123" s="20">
        <f t="shared" si="31"/>
        <v>0</v>
      </c>
      <c r="K123" s="24"/>
      <c r="L123" s="21">
        <f t="shared" si="32"/>
        <v>0</v>
      </c>
      <c r="M123" s="24"/>
      <c r="N123" s="21">
        <f t="shared" si="33"/>
        <v>0</v>
      </c>
      <c r="O123" s="24"/>
      <c r="P123" s="21">
        <f t="shared" si="34"/>
        <v>0</v>
      </c>
      <c r="Q123" s="20">
        <f t="shared" si="35"/>
        <v>500000</v>
      </c>
      <c r="R123" s="21">
        <f t="shared" si="36"/>
        <v>125000</v>
      </c>
    </row>
    <row r="124" spans="1:18" s="17" customFormat="1" ht="30" customHeight="1">
      <c r="A124" s="16">
        <f t="shared" si="37"/>
        <v>20</v>
      </c>
      <c r="B124" s="17" t="s">
        <v>146</v>
      </c>
      <c r="C124" s="18" t="s">
        <v>253</v>
      </c>
      <c r="D124" s="37">
        <v>500000</v>
      </c>
      <c r="E124" s="23">
        <v>0.2</v>
      </c>
      <c r="F124" s="19">
        <f t="shared" si="29"/>
        <v>100000</v>
      </c>
      <c r="G124" s="20"/>
      <c r="H124" s="20">
        <f t="shared" si="30"/>
        <v>0</v>
      </c>
      <c r="I124" s="20"/>
      <c r="J124" s="20">
        <f t="shared" si="31"/>
        <v>0</v>
      </c>
      <c r="K124" s="24"/>
      <c r="L124" s="21">
        <f t="shared" si="32"/>
        <v>0</v>
      </c>
      <c r="M124" s="24"/>
      <c r="N124" s="21">
        <f t="shared" si="33"/>
        <v>0</v>
      </c>
      <c r="O124" s="24"/>
      <c r="P124" s="21">
        <f t="shared" si="34"/>
        <v>0</v>
      </c>
      <c r="Q124" s="20">
        <f t="shared" si="35"/>
        <v>500000</v>
      </c>
      <c r="R124" s="21">
        <f t="shared" si="36"/>
        <v>100000</v>
      </c>
    </row>
    <row r="125" spans="1:18" s="17" customFormat="1" ht="30" customHeight="1">
      <c r="A125" s="16">
        <f t="shared" si="37"/>
        <v>21</v>
      </c>
      <c r="B125" s="17" t="s">
        <v>147</v>
      </c>
      <c r="C125" s="18" t="s">
        <v>253</v>
      </c>
      <c r="D125" s="38">
        <v>500000</v>
      </c>
      <c r="E125" s="23">
        <v>0.15</v>
      </c>
      <c r="F125" s="19">
        <f t="shared" si="29"/>
        <v>75000</v>
      </c>
      <c r="G125" s="20"/>
      <c r="H125" s="20">
        <f t="shared" si="30"/>
        <v>0</v>
      </c>
      <c r="I125" s="20"/>
      <c r="J125" s="20">
        <f t="shared" si="31"/>
        <v>0</v>
      </c>
      <c r="K125" s="22"/>
      <c r="L125" s="21">
        <f t="shared" si="32"/>
        <v>0</v>
      </c>
      <c r="M125" s="22"/>
      <c r="N125" s="21">
        <f t="shared" si="33"/>
        <v>0</v>
      </c>
      <c r="O125" s="24"/>
      <c r="P125" s="21">
        <f t="shared" si="34"/>
        <v>0</v>
      </c>
      <c r="Q125" s="20">
        <f t="shared" si="35"/>
        <v>500000</v>
      </c>
      <c r="R125" s="21">
        <f t="shared" si="36"/>
        <v>75000</v>
      </c>
    </row>
    <row r="126" spans="1:18" s="17" customFormat="1" ht="30" customHeight="1">
      <c r="A126" s="16">
        <f t="shared" si="37"/>
        <v>22</v>
      </c>
      <c r="B126" s="17" t="s">
        <v>148</v>
      </c>
      <c r="C126" s="18" t="s">
        <v>253</v>
      </c>
      <c r="D126" s="38">
        <v>500000</v>
      </c>
      <c r="E126" s="19">
        <v>0.2</v>
      </c>
      <c r="F126" s="19">
        <f t="shared" si="29"/>
        <v>100000</v>
      </c>
      <c r="G126" s="20"/>
      <c r="H126" s="20">
        <f t="shared" si="30"/>
        <v>0</v>
      </c>
      <c r="I126" s="20"/>
      <c r="J126" s="20">
        <f t="shared" si="31"/>
        <v>0</v>
      </c>
      <c r="K126" s="22"/>
      <c r="L126" s="21">
        <f t="shared" si="32"/>
        <v>0</v>
      </c>
      <c r="M126" s="22"/>
      <c r="N126" s="21">
        <f t="shared" si="33"/>
        <v>0</v>
      </c>
      <c r="O126" s="24"/>
      <c r="P126" s="21">
        <f t="shared" si="34"/>
        <v>0</v>
      </c>
      <c r="Q126" s="20">
        <f t="shared" si="35"/>
        <v>500000</v>
      </c>
      <c r="R126" s="21">
        <f t="shared" si="36"/>
        <v>100000</v>
      </c>
    </row>
    <row r="127" spans="1:18" s="17" customFormat="1" ht="30" customHeight="1">
      <c r="A127" s="16">
        <f t="shared" si="37"/>
        <v>23</v>
      </c>
      <c r="B127" s="17" t="s">
        <v>149</v>
      </c>
      <c r="C127" s="18" t="s">
        <v>253</v>
      </c>
      <c r="D127" s="38">
        <v>500000</v>
      </c>
      <c r="E127" s="19">
        <v>0.2</v>
      </c>
      <c r="F127" s="19">
        <f t="shared" si="29"/>
        <v>100000</v>
      </c>
      <c r="G127" s="20"/>
      <c r="H127" s="20">
        <f t="shared" si="30"/>
        <v>0</v>
      </c>
      <c r="I127" s="20"/>
      <c r="J127" s="20">
        <f t="shared" si="31"/>
        <v>0</v>
      </c>
      <c r="K127" s="22"/>
      <c r="L127" s="21">
        <f t="shared" si="32"/>
        <v>0</v>
      </c>
      <c r="M127" s="22"/>
      <c r="N127" s="21">
        <f t="shared" si="33"/>
        <v>0</v>
      </c>
      <c r="O127" s="24"/>
      <c r="P127" s="21">
        <f t="shared" si="34"/>
        <v>0</v>
      </c>
      <c r="Q127" s="20">
        <f t="shared" si="35"/>
        <v>500000</v>
      </c>
      <c r="R127" s="21">
        <f t="shared" si="36"/>
        <v>100000</v>
      </c>
    </row>
    <row r="128" spans="1:18" s="17" customFormat="1" ht="30" customHeight="1">
      <c r="A128" s="16">
        <f t="shared" si="37"/>
        <v>24</v>
      </c>
      <c r="B128" s="17" t="s">
        <v>150</v>
      </c>
      <c r="C128" s="18" t="s">
        <v>254</v>
      </c>
      <c r="D128" s="38">
        <v>120000</v>
      </c>
      <c r="E128" s="19">
        <v>1.5</v>
      </c>
      <c r="F128" s="19">
        <f t="shared" si="29"/>
        <v>180000</v>
      </c>
      <c r="G128" s="20"/>
      <c r="H128" s="20">
        <f t="shared" si="30"/>
        <v>0</v>
      </c>
      <c r="I128" s="20"/>
      <c r="J128" s="20">
        <f t="shared" si="31"/>
        <v>0</v>
      </c>
      <c r="K128" s="22"/>
      <c r="L128" s="21">
        <f t="shared" si="32"/>
        <v>0</v>
      </c>
      <c r="M128" s="22"/>
      <c r="N128" s="21">
        <f t="shared" si="33"/>
        <v>0</v>
      </c>
      <c r="O128" s="24"/>
      <c r="P128" s="21">
        <f t="shared" si="34"/>
        <v>0</v>
      </c>
      <c r="Q128" s="20">
        <f t="shared" si="35"/>
        <v>120000</v>
      </c>
      <c r="R128" s="21">
        <f t="shared" si="36"/>
        <v>180000</v>
      </c>
    </row>
    <row r="129" spans="1:18" s="41" customFormat="1" ht="30" customHeight="1">
      <c r="A129" s="16">
        <f t="shared" si="37"/>
        <v>25</v>
      </c>
      <c r="B129" s="17" t="s">
        <v>151</v>
      </c>
      <c r="C129" s="18" t="s">
        <v>254</v>
      </c>
      <c r="D129" s="38">
        <v>120000</v>
      </c>
      <c r="E129" s="19">
        <v>1</v>
      </c>
      <c r="F129" s="19">
        <f t="shared" si="29"/>
        <v>120000</v>
      </c>
      <c r="G129" s="39"/>
      <c r="H129" s="20">
        <f t="shared" si="30"/>
        <v>0</v>
      </c>
      <c r="I129" s="39"/>
      <c r="J129" s="20">
        <f t="shared" si="31"/>
        <v>0</v>
      </c>
      <c r="K129" s="40"/>
      <c r="L129" s="21">
        <f t="shared" si="32"/>
        <v>0</v>
      </c>
      <c r="M129" s="40"/>
      <c r="N129" s="21">
        <f t="shared" si="33"/>
        <v>0</v>
      </c>
      <c r="O129" s="24"/>
      <c r="P129" s="21">
        <f t="shared" si="34"/>
        <v>0</v>
      </c>
      <c r="Q129" s="20">
        <f t="shared" si="35"/>
        <v>120000</v>
      </c>
      <c r="R129" s="21">
        <f t="shared" si="36"/>
        <v>120000</v>
      </c>
    </row>
    <row r="130" spans="1:18" s="41" customFormat="1" ht="30" customHeight="1">
      <c r="A130" s="16">
        <f t="shared" si="37"/>
        <v>26</v>
      </c>
      <c r="B130" s="17" t="s">
        <v>152</v>
      </c>
      <c r="C130" s="18" t="s">
        <v>253</v>
      </c>
      <c r="D130" s="38">
        <v>150000</v>
      </c>
      <c r="E130" s="19">
        <v>1</v>
      </c>
      <c r="F130" s="19">
        <f t="shared" si="29"/>
        <v>150000</v>
      </c>
      <c r="G130" s="39"/>
      <c r="H130" s="20">
        <f t="shared" ref="H130:H219" si="38">G130*E130</f>
        <v>0</v>
      </c>
      <c r="I130" s="39"/>
      <c r="J130" s="20">
        <f t="shared" ref="J130:J219" si="39">I130*E130</f>
        <v>0</v>
      </c>
      <c r="K130" s="40"/>
      <c r="L130" s="21">
        <f t="shared" ref="L130:L219" si="40">K130*E130</f>
        <v>0</v>
      </c>
      <c r="M130" s="40"/>
      <c r="N130" s="21">
        <f t="shared" ref="N130:N219" si="41">M130*E130</f>
        <v>0</v>
      </c>
      <c r="O130" s="24"/>
      <c r="P130" s="21">
        <f t="shared" si="34"/>
        <v>0</v>
      </c>
      <c r="Q130" s="20">
        <f t="shared" ref="Q130:Q219" si="42">D130-G130-I130-K130-M130-O130</f>
        <v>150000</v>
      </c>
      <c r="R130" s="21">
        <f t="shared" ref="R130:R219" si="43">Q130*E130</f>
        <v>150000</v>
      </c>
    </row>
    <row r="131" spans="1:18" s="41" customFormat="1" ht="30" customHeight="1">
      <c r="A131" s="16">
        <f t="shared" si="37"/>
        <v>27</v>
      </c>
      <c r="B131" s="17" t="s">
        <v>153</v>
      </c>
      <c r="C131" s="18" t="s">
        <v>253</v>
      </c>
      <c r="D131" s="38">
        <v>150000</v>
      </c>
      <c r="E131" s="19">
        <v>0.75</v>
      </c>
      <c r="F131" s="19">
        <f t="shared" si="29"/>
        <v>112500</v>
      </c>
      <c r="G131" s="39"/>
      <c r="H131" s="20">
        <f t="shared" si="38"/>
        <v>0</v>
      </c>
      <c r="I131" s="39"/>
      <c r="J131" s="20">
        <f t="shared" si="39"/>
        <v>0</v>
      </c>
      <c r="K131" s="40"/>
      <c r="L131" s="21">
        <f t="shared" si="40"/>
        <v>0</v>
      </c>
      <c r="M131" s="40"/>
      <c r="N131" s="21">
        <f t="shared" si="41"/>
        <v>0</v>
      </c>
      <c r="O131" s="24"/>
      <c r="P131" s="21">
        <f t="shared" si="34"/>
        <v>0</v>
      </c>
      <c r="Q131" s="20">
        <f t="shared" si="42"/>
        <v>150000</v>
      </c>
      <c r="R131" s="21">
        <f t="shared" si="43"/>
        <v>112500</v>
      </c>
    </row>
    <row r="132" spans="1:18" s="41" customFormat="1" ht="30" customHeight="1">
      <c r="A132" s="16">
        <f t="shared" si="37"/>
        <v>28</v>
      </c>
      <c r="B132" s="17" t="s">
        <v>154</v>
      </c>
      <c r="C132" s="18" t="s">
        <v>254</v>
      </c>
      <c r="D132" s="38">
        <v>200000</v>
      </c>
      <c r="E132" s="19">
        <v>3</v>
      </c>
      <c r="F132" s="19">
        <f t="shared" si="29"/>
        <v>600000</v>
      </c>
      <c r="G132" s="39"/>
      <c r="H132" s="20">
        <f t="shared" si="38"/>
        <v>0</v>
      </c>
      <c r="I132" s="39"/>
      <c r="J132" s="20">
        <f t="shared" si="39"/>
        <v>0</v>
      </c>
      <c r="K132" s="40"/>
      <c r="L132" s="21">
        <f t="shared" si="40"/>
        <v>0</v>
      </c>
      <c r="M132" s="40"/>
      <c r="N132" s="21">
        <f t="shared" si="41"/>
        <v>0</v>
      </c>
      <c r="O132" s="24"/>
      <c r="P132" s="21">
        <f t="shared" si="34"/>
        <v>0</v>
      </c>
      <c r="Q132" s="20">
        <f t="shared" si="42"/>
        <v>200000</v>
      </c>
      <c r="R132" s="21">
        <f t="shared" si="43"/>
        <v>600000</v>
      </c>
    </row>
    <row r="133" spans="1:18" s="41" customFormat="1" ht="30" customHeight="1">
      <c r="A133" s="16">
        <f t="shared" si="37"/>
        <v>29</v>
      </c>
      <c r="B133" s="17" t="s">
        <v>155</v>
      </c>
      <c r="C133" s="18" t="s">
        <v>251</v>
      </c>
      <c r="D133" s="38">
        <v>75000</v>
      </c>
      <c r="E133" s="19">
        <v>3</v>
      </c>
      <c r="F133" s="19">
        <f t="shared" si="29"/>
        <v>225000</v>
      </c>
      <c r="G133" s="39"/>
      <c r="H133" s="20">
        <f t="shared" si="38"/>
        <v>0</v>
      </c>
      <c r="I133" s="39"/>
      <c r="J133" s="20">
        <f t="shared" si="39"/>
        <v>0</v>
      </c>
      <c r="K133" s="40"/>
      <c r="L133" s="21">
        <f t="shared" si="40"/>
        <v>0</v>
      </c>
      <c r="M133" s="40"/>
      <c r="N133" s="21">
        <f t="shared" si="41"/>
        <v>0</v>
      </c>
      <c r="O133" s="24"/>
      <c r="P133" s="21">
        <f t="shared" si="34"/>
        <v>0</v>
      </c>
      <c r="Q133" s="20">
        <f t="shared" si="42"/>
        <v>75000</v>
      </c>
      <c r="R133" s="21">
        <f t="shared" si="43"/>
        <v>225000</v>
      </c>
    </row>
    <row r="134" spans="1:18" s="41" customFormat="1" ht="30" customHeight="1">
      <c r="A134" s="16">
        <f t="shared" si="37"/>
        <v>30</v>
      </c>
      <c r="B134" s="17" t="s">
        <v>156</v>
      </c>
      <c r="C134" s="18" t="s">
        <v>252</v>
      </c>
      <c r="D134" s="38">
        <v>2500000</v>
      </c>
      <c r="E134" s="19">
        <v>0.25</v>
      </c>
      <c r="F134" s="19">
        <f t="shared" si="29"/>
        <v>625000</v>
      </c>
      <c r="G134" s="39"/>
      <c r="H134" s="20">
        <f t="shared" ref="H134:H197" si="44">G134*E134</f>
        <v>0</v>
      </c>
      <c r="I134" s="39"/>
      <c r="J134" s="20">
        <f t="shared" ref="J134:J197" si="45">I134*E134</f>
        <v>0</v>
      </c>
      <c r="K134" s="40"/>
      <c r="L134" s="21">
        <f t="shared" ref="L134:L197" si="46">K134*E134</f>
        <v>0</v>
      </c>
      <c r="M134" s="40"/>
      <c r="N134" s="21">
        <f t="shared" ref="N134:N197" si="47">M134*E134</f>
        <v>0</v>
      </c>
      <c r="O134" s="24"/>
      <c r="P134" s="21">
        <f t="shared" ref="P134:P197" si="48">O134*E134</f>
        <v>0</v>
      </c>
      <c r="Q134" s="20">
        <f t="shared" ref="Q134:Q197" si="49">D134-G134-I134-K134-M134-O134</f>
        <v>2500000</v>
      </c>
      <c r="R134" s="21">
        <f t="shared" ref="R134:R197" si="50">Q134*E134</f>
        <v>625000</v>
      </c>
    </row>
    <row r="135" spans="1:18" s="41" customFormat="1" ht="30" customHeight="1">
      <c r="A135" s="16">
        <f t="shared" si="37"/>
        <v>31</v>
      </c>
      <c r="B135" s="17" t="s">
        <v>157</v>
      </c>
      <c r="C135" s="18" t="s">
        <v>254</v>
      </c>
      <c r="D135" s="38">
        <v>65000</v>
      </c>
      <c r="E135" s="19">
        <v>1.2</v>
      </c>
      <c r="F135" s="19">
        <f t="shared" si="29"/>
        <v>78000</v>
      </c>
      <c r="G135" s="39"/>
      <c r="H135" s="20">
        <f t="shared" si="44"/>
        <v>0</v>
      </c>
      <c r="I135" s="39"/>
      <c r="J135" s="20">
        <f t="shared" si="45"/>
        <v>0</v>
      </c>
      <c r="K135" s="40"/>
      <c r="L135" s="21">
        <f t="shared" si="46"/>
        <v>0</v>
      </c>
      <c r="M135" s="40"/>
      <c r="N135" s="21">
        <f t="shared" si="47"/>
        <v>0</v>
      </c>
      <c r="O135" s="24"/>
      <c r="P135" s="21">
        <f t="shared" si="48"/>
        <v>0</v>
      </c>
      <c r="Q135" s="20">
        <f t="shared" si="49"/>
        <v>65000</v>
      </c>
      <c r="R135" s="21">
        <f t="shared" si="50"/>
        <v>78000</v>
      </c>
    </row>
    <row r="136" spans="1:18" s="41" customFormat="1" ht="30" customHeight="1">
      <c r="A136" s="16">
        <f t="shared" si="37"/>
        <v>32</v>
      </c>
      <c r="B136" s="17" t="s">
        <v>158</v>
      </c>
      <c r="C136" s="18" t="s">
        <v>255</v>
      </c>
      <c r="D136" s="38">
        <v>170000</v>
      </c>
      <c r="E136" s="19">
        <v>0.6</v>
      </c>
      <c r="F136" s="19">
        <f t="shared" si="29"/>
        <v>102000</v>
      </c>
      <c r="G136" s="39"/>
      <c r="H136" s="20">
        <f t="shared" si="44"/>
        <v>0</v>
      </c>
      <c r="I136" s="39"/>
      <c r="J136" s="20">
        <f t="shared" si="45"/>
        <v>0</v>
      </c>
      <c r="K136" s="40"/>
      <c r="L136" s="21">
        <f t="shared" si="46"/>
        <v>0</v>
      </c>
      <c r="M136" s="40"/>
      <c r="N136" s="21">
        <f t="shared" si="47"/>
        <v>0</v>
      </c>
      <c r="O136" s="24"/>
      <c r="P136" s="21">
        <f t="shared" si="48"/>
        <v>0</v>
      </c>
      <c r="Q136" s="20">
        <f t="shared" si="49"/>
        <v>170000</v>
      </c>
      <c r="R136" s="21">
        <f t="shared" si="50"/>
        <v>102000</v>
      </c>
    </row>
    <row r="137" spans="1:18" s="41" customFormat="1" ht="30" customHeight="1">
      <c r="A137" s="16">
        <f t="shared" si="37"/>
        <v>33</v>
      </c>
      <c r="B137" s="17" t="s">
        <v>159</v>
      </c>
      <c r="C137" s="18" t="s">
        <v>255</v>
      </c>
      <c r="D137" s="38">
        <v>170000</v>
      </c>
      <c r="E137" s="19">
        <v>0.6</v>
      </c>
      <c r="F137" s="19">
        <f t="shared" si="29"/>
        <v>102000</v>
      </c>
      <c r="G137" s="39"/>
      <c r="H137" s="20">
        <f t="shared" si="44"/>
        <v>0</v>
      </c>
      <c r="I137" s="39"/>
      <c r="J137" s="20">
        <f t="shared" si="45"/>
        <v>0</v>
      </c>
      <c r="K137" s="40"/>
      <c r="L137" s="21">
        <f t="shared" si="46"/>
        <v>0</v>
      </c>
      <c r="M137" s="40"/>
      <c r="N137" s="21">
        <f t="shared" si="47"/>
        <v>0</v>
      </c>
      <c r="O137" s="24"/>
      <c r="P137" s="21">
        <f t="shared" si="48"/>
        <v>0</v>
      </c>
      <c r="Q137" s="20">
        <f t="shared" si="49"/>
        <v>170000</v>
      </c>
      <c r="R137" s="21">
        <f t="shared" si="50"/>
        <v>102000</v>
      </c>
    </row>
    <row r="138" spans="1:18" s="41" customFormat="1" ht="30" customHeight="1">
      <c r="A138" s="16">
        <f t="shared" si="37"/>
        <v>34</v>
      </c>
      <c r="B138" s="17" t="s">
        <v>160</v>
      </c>
      <c r="C138" s="18" t="s">
        <v>253</v>
      </c>
      <c r="D138" s="38">
        <v>750000</v>
      </c>
      <c r="E138" s="19">
        <v>0.65</v>
      </c>
      <c r="F138" s="19">
        <f t="shared" si="29"/>
        <v>487500</v>
      </c>
      <c r="G138" s="39"/>
      <c r="H138" s="20">
        <f t="shared" si="44"/>
        <v>0</v>
      </c>
      <c r="I138" s="39"/>
      <c r="J138" s="20">
        <f t="shared" si="45"/>
        <v>0</v>
      </c>
      <c r="K138" s="40"/>
      <c r="L138" s="21">
        <f t="shared" si="46"/>
        <v>0</v>
      </c>
      <c r="M138" s="40"/>
      <c r="N138" s="21">
        <f t="shared" si="47"/>
        <v>0</v>
      </c>
      <c r="O138" s="24"/>
      <c r="P138" s="21">
        <f t="shared" si="48"/>
        <v>0</v>
      </c>
      <c r="Q138" s="20">
        <f t="shared" si="49"/>
        <v>750000</v>
      </c>
      <c r="R138" s="21">
        <f t="shared" si="50"/>
        <v>487500</v>
      </c>
    </row>
    <row r="139" spans="1:18" s="41" customFormat="1" ht="30" customHeight="1">
      <c r="A139" s="16">
        <f t="shared" si="37"/>
        <v>35</v>
      </c>
      <c r="B139" s="17" t="s">
        <v>161</v>
      </c>
      <c r="C139" s="18" t="s">
        <v>253</v>
      </c>
      <c r="D139" s="38">
        <v>170000</v>
      </c>
      <c r="E139" s="19">
        <v>1</v>
      </c>
      <c r="F139" s="19">
        <f t="shared" si="29"/>
        <v>170000</v>
      </c>
      <c r="G139" s="39"/>
      <c r="H139" s="20">
        <f t="shared" si="44"/>
        <v>0</v>
      </c>
      <c r="I139" s="39"/>
      <c r="J139" s="20">
        <f t="shared" si="45"/>
        <v>0</v>
      </c>
      <c r="K139" s="40"/>
      <c r="L139" s="21">
        <f t="shared" si="46"/>
        <v>0</v>
      </c>
      <c r="M139" s="40"/>
      <c r="N139" s="21">
        <f t="shared" si="47"/>
        <v>0</v>
      </c>
      <c r="O139" s="24"/>
      <c r="P139" s="21">
        <f t="shared" si="48"/>
        <v>0</v>
      </c>
      <c r="Q139" s="20">
        <f t="shared" si="49"/>
        <v>170000</v>
      </c>
      <c r="R139" s="21">
        <f t="shared" si="50"/>
        <v>170000</v>
      </c>
    </row>
    <row r="140" spans="1:18" s="41" customFormat="1" ht="30" customHeight="1">
      <c r="A140" s="16">
        <f t="shared" si="37"/>
        <v>36</v>
      </c>
      <c r="B140" s="17" t="s">
        <v>162</v>
      </c>
      <c r="C140" s="18" t="s">
        <v>253</v>
      </c>
      <c r="D140" s="38">
        <v>250000</v>
      </c>
      <c r="E140" s="19">
        <v>0.25</v>
      </c>
      <c r="F140" s="19">
        <f t="shared" si="29"/>
        <v>62500</v>
      </c>
      <c r="G140" s="39"/>
      <c r="H140" s="20">
        <f t="shared" si="44"/>
        <v>0</v>
      </c>
      <c r="I140" s="39"/>
      <c r="J140" s="20">
        <f t="shared" si="45"/>
        <v>0</v>
      </c>
      <c r="K140" s="40"/>
      <c r="L140" s="21">
        <f t="shared" si="46"/>
        <v>0</v>
      </c>
      <c r="M140" s="40"/>
      <c r="N140" s="21">
        <f t="shared" si="47"/>
        <v>0</v>
      </c>
      <c r="O140" s="24"/>
      <c r="P140" s="21">
        <f t="shared" si="48"/>
        <v>0</v>
      </c>
      <c r="Q140" s="20">
        <f t="shared" si="49"/>
        <v>250000</v>
      </c>
      <c r="R140" s="21">
        <f t="shared" si="50"/>
        <v>62500</v>
      </c>
    </row>
    <row r="141" spans="1:18" s="41" customFormat="1" ht="30" customHeight="1">
      <c r="A141" s="16">
        <f t="shared" si="37"/>
        <v>37</v>
      </c>
      <c r="B141" s="17" t="s">
        <v>163</v>
      </c>
      <c r="C141" s="18" t="s">
        <v>251</v>
      </c>
      <c r="D141" s="38">
        <v>170000</v>
      </c>
      <c r="E141" s="19">
        <v>0.45</v>
      </c>
      <c r="F141" s="19">
        <f t="shared" si="29"/>
        <v>76500</v>
      </c>
      <c r="G141" s="39"/>
      <c r="H141" s="20">
        <f t="shared" si="44"/>
        <v>0</v>
      </c>
      <c r="I141" s="39"/>
      <c r="J141" s="20">
        <f t="shared" si="45"/>
        <v>0</v>
      </c>
      <c r="K141" s="40"/>
      <c r="L141" s="21">
        <f t="shared" si="46"/>
        <v>0</v>
      </c>
      <c r="M141" s="40"/>
      <c r="N141" s="21">
        <f t="shared" si="47"/>
        <v>0</v>
      </c>
      <c r="O141" s="24"/>
      <c r="P141" s="21">
        <f t="shared" si="48"/>
        <v>0</v>
      </c>
      <c r="Q141" s="20">
        <f t="shared" si="49"/>
        <v>170000</v>
      </c>
      <c r="R141" s="21">
        <f t="shared" si="50"/>
        <v>76500</v>
      </c>
    </row>
    <row r="142" spans="1:18" s="41" customFormat="1" ht="30" customHeight="1">
      <c r="A142" s="16">
        <f t="shared" si="37"/>
        <v>38</v>
      </c>
      <c r="B142" s="17" t="s">
        <v>164</v>
      </c>
      <c r="C142" s="18" t="s">
        <v>252</v>
      </c>
      <c r="D142" s="38">
        <v>120000</v>
      </c>
      <c r="E142" s="19">
        <v>0.15</v>
      </c>
      <c r="F142" s="19">
        <f t="shared" si="29"/>
        <v>18000</v>
      </c>
      <c r="G142" s="39"/>
      <c r="H142" s="20">
        <f t="shared" si="44"/>
        <v>0</v>
      </c>
      <c r="I142" s="39"/>
      <c r="J142" s="20">
        <f t="shared" si="45"/>
        <v>0</v>
      </c>
      <c r="K142" s="40"/>
      <c r="L142" s="21">
        <f t="shared" si="46"/>
        <v>0</v>
      </c>
      <c r="M142" s="40"/>
      <c r="N142" s="21">
        <f t="shared" si="47"/>
        <v>0</v>
      </c>
      <c r="O142" s="24"/>
      <c r="P142" s="21">
        <f t="shared" si="48"/>
        <v>0</v>
      </c>
      <c r="Q142" s="20">
        <f t="shared" si="49"/>
        <v>120000</v>
      </c>
      <c r="R142" s="21">
        <f t="shared" si="50"/>
        <v>18000</v>
      </c>
    </row>
    <row r="143" spans="1:18" s="41" customFormat="1" ht="30" customHeight="1">
      <c r="A143" s="16">
        <f t="shared" si="37"/>
        <v>39</v>
      </c>
      <c r="B143" s="17" t="s">
        <v>165</v>
      </c>
      <c r="C143" s="18" t="s">
        <v>252</v>
      </c>
      <c r="D143" s="38">
        <v>700000</v>
      </c>
      <c r="E143" s="19">
        <v>0.45</v>
      </c>
      <c r="F143" s="19">
        <f t="shared" si="29"/>
        <v>315000</v>
      </c>
      <c r="G143" s="39"/>
      <c r="H143" s="20">
        <f t="shared" si="44"/>
        <v>0</v>
      </c>
      <c r="I143" s="39"/>
      <c r="J143" s="20">
        <f t="shared" si="45"/>
        <v>0</v>
      </c>
      <c r="K143" s="40"/>
      <c r="L143" s="21">
        <f t="shared" si="46"/>
        <v>0</v>
      </c>
      <c r="M143" s="40"/>
      <c r="N143" s="21">
        <f t="shared" si="47"/>
        <v>0</v>
      </c>
      <c r="O143" s="24"/>
      <c r="P143" s="21">
        <f t="shared" si="48"/>
        <v>0</v>
      </c>
      <c r="Q143" s="20">
        <f t="shared" si="49"/>
        <v>700000</v>
      </c>
      <c r="R143" s="21">
        <f t="shared" si="50"/>
        <v>315000</v>
      </c>
    </row>
    <row r="144" spans="1:18" s="41" customFormat="1" ht="30" customHeight="1">
      <c r="A144" s="16">
        <f t="shared" si="37"/>
        <v>40</v>
      </c>
      <c r="B144" s="17" t="s">
        <v>166</v>
      </c>
      <c r="C144" s="18" t="s">
        <v>252</v>
      </c>
      <c r="D144" s="38">
        <v>1800000</v>
      </c>
      <c r="E144" s="19">
        <v>0.25</v>
      </c>
      <c r="F144" s="19">
        <f t="shared" si="29"/>
        <v>450000</v>
      </c>
      <c r="G144" s="39"/>
      <c r="H144" s="20">
        <f t="shared" si="44"/>
        <v>0</v>
      </c>
      <c r="I144" s="39"/>
      <c r="J144" s="20">
        <f t="shared" si="45"/>
        <v>0</v>
      </c>
      <c r="K144" s="40"/>
      <c r="L144" s="21">
        <f t="shared" si="46"/>
        <v>0</v>
      </c>
      <c r="M144" s="40"/>
      <c r="N144" s="21">
        <f t="shared" si="47"/>
        <v>0</v>
      </c>
      <c r="O144" s="24"/>
      <c r="P144" s="21">
        <f t="shared" si="48"/>
        <v>0</v>
      </c>
      <c r="Q144" s="20">
        <f t="shared" si="49"/>
        <v>1800000</v>
      </c>
      <c r="R144" s="21">
        <f t="shared" si="50"/>
        <v>450000</v>
      </c>
    </row>
    <row r="145" spans="1:18" s="41" customFormat="1" ht="30" customHeight="1">
      <c r="A145" s="16">
        <f t="shared" si="37"/>
        <v>41</v>
      </c>
      <c r="B145" s="17" t="s">
        <v>167</v>
      </c>
      <c r="C145" s="18" t="s">
        <v>253</v>
      </c>
      <c r="D145" s="38">
        <v>500000</v>
      </c>
      <c r="E145" s="19">
        <v>0.15</v>
      </c>
      <c r="F145" s="19">
        <f t="shared" si="29"/>
        <v>75000</v>
      </c>
      <c r="G145" s="39"/>
      <c r="H145" s="20">
        <f t="shared" si="44"/>
        <v>0</v>
      </c>
      <c r="I145" s="39"/>
      <c r="J145" s="20">
        <f t="shared" si="45"/>
        <v>0</v>
      </c>
      <c r="K145" s="40"/>
      <c r="L145" s="21">
        <f t="shared" si="46"/>
        <v>0</v>
      </c>
      <c r="M145" s="40"/>
      <c r="N145" s="21">
        <f t="shared" si="47"/>
        <v>0</v>
      </c>
      <c r="O145" s="24"/>
      <c r="P145" s="21">
        <f t="shared" si="48"/>
        <v>0</v>
      </c>
      <c r="Q145" s="20">
        <f t="shared" si="49"/>
        <v>500000</v>
      </c>
      <c r="R145" s="21">
        <f t="shared" si="50"/>
        <v>75000</v>
      </c>
    </row>
    <row r="146" spans="1:18" s="41" customFormat="1" ht="30" customHeight="1">
      <c r="A146" s="16">
        <f t="shared" si="37"/>
        <v>42</v>
      </c>
      <c r="B146" s="17" t="s">
        <v>168</v>
      </c>
      <c r="C146" s="18" t="s">
        <v>253</v>
      </c>
      <c r="D146" s="38">
        <v>850000</v>
      </c>
      <c r="E146" s="19">
        <v>0.15</v>
      </c>
      <c r="F146" s="19">
        <f t="shared" si="29"/>
        <v>127500</v>
      </c>
      <c r="G146" s="39"/>
      <c r="H146" s="20">
        <f t="shared" si="44"/>
        <v>0</v>
      </c>
      <c r="I146" s="39"/>
      <c r="J146" s="20">
        <f t="shared" si="45"/>
        <v>0</v>
      </c>
      <c r="K146" s="40"/>
      <c r="L146" s="21">
        <f t="shared" si="46"/>
        <v>0</v>
      </c>
      <c r="M146" s="40"/>
      <c r="N146" s="21">
        <f t="shared" si="47"/>
        <v>0</v>
      </c>
      <c r="O146" s="24"/>
      <c r="P146" s="21">
        <f t="shared" si="48"/>
        <v>0</v>
      </c>
      <c r="Q146" s="20">
        <f t="shared" si="49"/>
        <v>850000</v>
      </c>
      <c r="R146" s="21">
        <f t="shared" si="50"/>
        <v>127500</v>
      </c>
    </row>
    <row r="147" spans="1:18" s="41" customFormat="1" ht="30" customHeight="1">
      <c r="A147" s="16">
        <f t="shared" si="37"/>
        <v>43</v>
      </c>
      <c r="B147" s="17" t="s">
        <v>169</v>
      </c>
      <c r="C147" s="18" t="s">
        <v>253</v>
      </c>
      <c r="D147" s="38">
        <v>1200000</v>
      </c>
      <c r="E147" s="19">
        <v>0.12</v>
      </c>
      <c r="F147" s="19">
        <f t="shared" si="29"/>
        <v>144000</v>
      </c>
      <c r="G147" s="39"/>
      <c r="H147" s="20">
        <f t="shared" si="44"/>
        <v>0</v>
      </c>
      <c r="I147" s="39"/>
      <c r="J147" s="20">
        <f t="shared" si="45"/>
        <v>0</v>
      </c>
      <c r="K147" s="40"/>
      <c r="L147" s="21">
        <f t="shared" si="46"/>
        <v>0</v>
      </c>
      <c r="M147" s="40"/>
      <c r="N147" s="21">
        <f t="shared" si="47"/>
        <v>0</v>
      </c>
      <c r="O147" s="24"/>
      <c r="P147" s="21">
        <f t="shared" si="48"/>
        <v>0</v>
      </c>
      <c r="Q147" s="20">
        <f t="shared" si="49"/>
        <v>1200000</v>
      </c>
      <c r="R147" s="21">
        <f t="shared" si="50"/>
        <v>144000</v>
      </c>
    </row>
    <row r="148" spans="1:18" s="41" customFormat="1" ht="30" customHeight="1">
      <c r="A148" s="16">
        <f t="shared" si="37"/>
        <v>44</v>
      </c>
      <c r="B148" s="17" t="s">
        <v>170</v>
      </c>
      <c r="C148" s="18" t="s">
        <v>256</v>
      </c>
      <c r="D148" s="38">
        <v>25000</v>
      </c>
      <c r="E148" s="19">
        <v>1.6</v>
      </c>
      <c r="F148" s="19">
        <f t="shared" si="29"/>
        <v>40000</v>
      </c>
      <c r="G148" s="39"/>
      <c r="H148" s="20">
        <f t="shared" si="44"/>
        <v>0</v>
      </c>
      <c r="I148" s="39"/>
      <c r="J148" s="20">
        <f t="shared" si="45"/>
        <v>0</v>
      </c>
      <c r="K148" s="40"/>
      <c r="L148" s="21">
        <f t="shared" si="46"/>
        <v>0</v>
      </c>
      <c r="M148" s="40"/>
      <c r="N148" s="21">
        <f t="shared" si="47"/>
        <v>0</v>
      </c>
      <c r="O148" s="24"/>
      <c r="P148" s="21">
        <f t="shared" si="48"/>
        <v>0</v>
      </c>
      <c r="Q148" s="20">
        <f t="shared" si="49"/>
        <v>25000</v>
      </c>
      <c r="R148" s="21">
        <f t="shared" si="50"/>
        <v>40000</v>
      </c>
    </row>
    <row r="149" spans="1:18" s="41" customFormat="1" ht="30" customHeight="1">
      <c r="A149" s="16">
        <f t="shared" si="37"/>
        <v>45</v>
      </c>
      <c r="B149" s="17" t="s">
        <v>171</v>
      </c>
      <c r="C149" s="18" t="s">
        <v>256</v>
      </c>
      <c r="D149" s="38">
        <v>25000</v>
      </c>
      <c r="E149" s="19">
        <v>1.6</v>
      </c>
      <c r="F149" s="19">
        <f t="shared" si="29"/>
        <v>40000</v>
      </c>
      <c r="G149" s="39"/>
      <c r="H149" s="20">
        <f t="shared" si="44"/>
        <v>0</v>
      </c>
      <c r="I149" s="39"/>
      <c r="J149" s="20">
        <f t="shared" si="45"/>
        <v>0</v>
      </c>
      <c r="K149" s="40"/>
      <c r="L149" s="21">
        <f t="shared" si="46"/>
        <v>0</v>
      </c>
      <c r="M149" s="40"/>
      <c r="N149" s="21">
        <f t="shared" si="47"/>
        <v>0</v>
      </c>
      <c r="O149" s="24"/>
      <c r="P149" s="21">
        <f t="shared" si="48"/>
        <v>0</v>
      </c>
      <c r="Q149" s="20">
        <f t="shared" si="49"/>
        <v>25000</v>
      </c>
      <c r="R149" s="21">
        <f t="shared" si="50"/>
        <v>40000</v>
      </c>
    </row>
    <row r="150" spans="1:18" s="41" customFormat="1" ht="30" customHeight="1">
      <c r="A150" s="16">
        <f t="shared" si="37"/>
        <v>46</v>
      </c>
      <c r="B150" s="17" t="s">
        <v>172</v>
      </c>
      <c r="C150" s="18" t="s">
        <v>251</v>
      </c>
      <c r="D150" s="38">
        <v>25000</v>
      </c>
      <c r="E150" s="19">
        <v>0.45</v>
      </c>
      <c r="F150" s="19">
        <f t="shared" si="29"/>
        <v>11250</v>
      </c>
      <c r="G150" s="39"/>
      <c r="H150" s="20">
        <f t="shared" si="44"/>
        <v>0</v>
      </c>
      <c r="I150" s="39"/>
      <c r="J150" s="20">
        <f t="shared" si="45"/>
        <v>0</v>
      </c>
      <c r="K150" s="40"/>
      <c r="L150" s="21">
        <f t="shared" si="46"/>
        <v>0</v>
      </c>
      <c r="M150" s="40"/>
      <c r="N150" s="21">
        <f t="shared" si="47"/>
        <v>0</v>
      </c>
      <c r="O150" s="24"/>
      <c r="P150" s="21">
        <f t="shared" si="48"/>
        <v>0</v>
      </c>
      <c r="Q150" s="20">
        <f t="shared" si="49"/>
        <v>25000</v>
      </c>
      <c r="R150" s="21">
        <f t="shared" si="50"/>
        <v>11250</v>
      </c>
    </row>
    <row r="151" spans="1:18" s="41" customFormat="1" ht="30" customHeight="1">
      <c r="A151" s="16">
        <f t="shared" si="37"/>
        <v>47</v>
      </c>
      <c r="B151" s="17" t="s">
        <v>173</v>
      </c>
      <c r="C151" s="18" t="s">
        <v>251</v>
      </c>
      <c r="D151" s="38">
        <v>50000</v>
      </c>
      <c r="E151" s="19">
        <v>0.45</v>
      </c>
      <c r="F151" s="19">
        <f t="shared" si="29"/>
        <v>22500</v>
      </c>
      <c r="G151" s="39"/>
      <c r="H151" s="20">
        <f t="shared" si="44"/>
        <v>0</v>
      </c>
      <c r="I151" s="39"/>
      <c r="J151" s="20">
        <f t="shared" si="45"/>
        <v>0</v>
      </c>
      <c r="K151" s="40"/>
      <c r="L151" s="21">
        <f t="shared" si="46"/>
        <v>0</v>
      </c>
      <c r="M151" s="40"/>
      <c r="N151" s="21">
        <f t="shared" si="47"/>
        <v>0</v>
      </c>
      <c r="O151" s="24"/>
      <c r="P151" s="21">
        <f t="shared" si="48"/>
        <v>0</v>
      </c>
      <c r="Q151" s="20">
        <f t="shared" si="49"/>
        <v>50000</v>
      </c>
      <c r="R151" s="21">
        <f t="shared" si="50"/>
        <v>22500</v>
      </c>
    </row>
    <row r="152" spans="1:18" s="41" customFormat="1" ht="30" customHeight="1">
      <c r="A152" s="16">
        <f t="shared" si="37"/>
        <v>48</v>
      </c>
      <c r="B152" s="17" t="s">
        <v>174</v>
      </c>
      <c r="C152" s="18" t="s">
        <v>251</v>
      </c>
      <c r="D152" s="38">
        <v>50000</v>
      </c>
      <c r="E152" s="19">
        <v>1.2</v>
      </c>
      <c r="F152" s="19">
        <f t="shared" si="29"/>
        <v>60000</v>
      </c>
      <c r="G152" s="39"/>
      <c r="H152" s="20">
        <f t="shared" si="44"/>
        <v>0</v>
      </c>
      <c r="I152" s="39"/>
      <c r="J152" s="20">
        <f t="shared" si="45"/>
        <v>0</v>
      </c>
      <c r="K152" s="40"/>
      <c r="L152" s="21">
        <f t="shared" si="46"/>
        <v>0</v>
      </c>
      <c r="M152" s="40"/>
      <c r="N152" s="21">
        <f t="shared" si="47"/>
        <v>0</v>
      </c>
      <c r="O152" s="24"/>
      <c r="P152" s="21">
        <f t="shared" si="48"/>
        <v>0</v>
      </c>
      <c r="Q152" s="20">
        <f t="shared" si="49"/>
        <v>50000</v>
      </c>
      <c r="R152" s="21">
        <f t="shared" si="50"/>
        <v>60000</v>
      </c>
    </row>
    <row r="153" spans="1:18" s="41" customFormat="1" ht="30" customHeight="1">
      <c r="A153" s="16">
        <f t="shared" si="37"/>
        <v>49</v>
      </c>
      <c r="B153" s="17" t="s">
        <v>175</v>
      </c>
      <c r="C153" s="18" t="s">
        <v>251</v>
      </c>
      <c r="D153" s="38">
        <v>12000</v>
      </c>
      <c r="E153" s="19">
        <v>1.6</v>
      </c>
      <c r="F153" s="19">
        <f t="shared" si="29"/>
        <v>19200</v>
      </c>
      <c r="G153" s="39"/>
      <c r="H153" s="20">
        <f t="shared" si="44"/>
        <v>0</v>
      </c>
      <c r="I153" s="39"/>
      <c r="J153" s="20">
        <f t="shared" si="45"/>
        <v>0</v>
      </c>
      <c r="K153" s="40"/>
      <c r="L153" s="21">
        <f t="shared" si="46"/>
        <v>0</v>
      </c>
      <c r="M153" s="40"/>
      <c r="N153" s="21">
        <f t="shared" si="47"/>
        <v>0</v>
      </c>
      <c r="O153" s="24"/>
      <c r="P153" s="21">
        <f t="shared" si="48"/>
        <v>0</v>
      </c>
      <c r="Q153" s="20">
        <f t="shared" si="49"/>
        <v>12000</v>
      </c>
      <c r="R153" s="21">
        <f t="shared" si="50"/>
        <v>19200</v>
      </c>
    </row>
    <row r="154" spans="1:18" s="41" customFormat="1" ht="30" customHeight="1">
      <c r="A154" s="16">
        <f t="shared" si="37"/>
        <v>50</v>
      </c>
      <c r="B154" s="17" t="s">
        <v>176</v>
      </c>
      <c r="C154" s="18" t="s">
        <v>253</v>
      </c>
      <c r="D154" s="38">
        <v>85000</v>
      </c>
      <c r="E154" s="19">
        <v>1.6</v>
      </c>
      <c r="F154" s="19">
        <f t="shared" si="29"/>
        <v>136000</v>
      </c>
      <c r="G154" s="39"/>
      <c r="H154" s="20">
        <f t="shared" si="44"/>
        <v>0</v>
      </c>
      <c r="I154" s="39"/>
      <c r="J154" s="20">
        <f t="shared" si="45"/>
        <v>0</v>
      </c>
      <c r="K154" s="40"/>
      <c r="L154" s="21">
        <f t="shared" si="46"/>
        <v>0</v>
      </c>
      <c r="M154" s="40"/>
      <c r="N154" s="21">
        <f t="shared" si="47"/>
        <v>0</v>
      </c>
      <c r="O154" s="24"/>
      <c r="P154" s="21">
        <f t="shared" si="48"/>
        <v>0</v>
      </c>
      <c r="Q154" s="20">
        <f t="shared" si="49"/>
        <v>85000</v>
      </c>
      <c r="R154" s="21">
        <f t="shared" si="50"/>
        <v>136000</v>
      </c>
    </row>
    <row r="155" spans="1:18" s="41" customFormat="1" ht="30" customHeight="1">
      <c r="A155" s="16">
        <f t="shared" si="37"/>
        <v>51</v>
      </c>
      <c r="B155" s="17" t="s">
        <v>177</v>
      </c>
      <c r="C155" s="18" t="s">
        <v>253</v>
      </c>
      <c r="D155" s="38">
        <v>85000</v>
      </c>
      <c r="E155" s="19">
        <v>1.2</v>
      </c>
      <c r="F155" s="19">
        <f t="shared" si="29"/>
        <v>102000</v>
      </c>
      <c r="G155" s="39"/>
      <c r="H155" s="20">
        <f t="shared" si="44"/>
        <v>0</v>
      </c>
      <c r="I155" s="39"/>
      <c r="J155" s="20">
        <f t="shared" si="45"/>
        <v>0</v>
      </c>
      <c r="K155" s="40"/>
      <c r="L155" s="21">
        <f t="shared" si="46"/>
        <v>0</v>
      </c>
      <c r="M155" s="40"/>
      <c r="N155" s="21">
        <f t="shared" si="47"/>
        <v>0</v>
      </c>
      <c r="O155" s="24"/>
      <c r="P155" s="21">
        <f t="shared" si="48"/>
        <v>0</v>
      </c>
      <c r="Q155" s="20">
        <f t="shared" si="49"/>
        <v>85000</v>
      </c>
      <c r="R155" s="21">
        <f t="shared" si="50"/>
        <v>102000</v>
      </c>
    </row>
    <row r="156" spans="1:18" s="41" customFormat="1" ht="30" customHeight="1">
      <c r="A156" s="16">
        <f t="shared" si="37"/>
        <v>52</v>
      </c>
      <c r="B156" s="17" t="s">
        <v>178</v>
      </c>
      <c r="C156" s="18" t="s">
        <v>253</v>
      </c>
      <c r="D156" s="38">
        <v>16000</v>
      </c>
      <c r="E156" s="19">
        <v>1.6</v>
      </c>
      <c r="F156" s="19">
        <f t="shared" si="29"/>
        <v>25600</v>
      </c>
      <c r="G156" s="39"/>
      <c r="H156" s="20">
        <f t="shared" si="44"/>
        <v>0</v>
      </c>
      <c r="I156" s="39"/>
      <c r="J156" s="20">
        <f t="shared" si="45"/>
        <v>0</v>
      </c>
      <c r="K156" s="40"/>
      <c r="L156" s="21">
        <f t="shared" si="46"/>
        <v>0</v>
      </c>
      <c r="M156" s="40"/>
      <c r="N156" s="21">
        <f t="shared" si="47"/>
        <v>0</v>
      </c>
      <c r="O156" s="24"/>
      <c r="P156" s="21">
        <f t="shared" si="48"/>
        <v>0</v>
      </c>
      <c r="Q156" s="20">
        <f t="shared" si="49"/>
        <v>16000</v>
      </c>
      <c r="R156" s="21">
        <f t="shared" si="50"/>
        <v>25600</v>
      </c>
    </row>
    <row r="157" spans="1:18" s="41" customFormat="1" ht="30" customHeight="1">
      <c r="A157" s="16">
        <f t="shared" si="37"/>
        <v>53</v>
      </c>
      <c r="B157" s="17" t="s">
        <v>179</v>
      </c>
      <c r="C157" s="18" t="s">
        <v>253</v>
      </c>
      <c r="D157" s="38">
        <v>1200</v>
      </c>
      <c r="E157" s="19">
        <v>2.2000000000000002</v>
      </c>
      <c r="F157" s="19">
        <f t="shared" si="29"/>
        <v>2640</v>
      </c>
      <c r="G157" s="39"/>
      <c r="H157" s="20">
        <f t="shared" si="44"/>
        <v>0</v>
      </c>
      <c r="I157" s="39"/>
      <c r="J157" s="20">
        <f t="shared" si="45"/>
        <v>0</v>
      </c>
      <c r="K157" s="40"/>
      <c r="L157" s="21">
        <f t="shared" si="46"/>
        <v>0</v>
      </c>
      <c r="M157" s="40"/>
      <c r="N157" s="21">
        <f t="shared" si="47"/>
        <v>0</v>
      </c>
      <c r="O157" s="24"/>
      <c r="P157" s="21">
        <f t="shared" si="48"/>
        <v>0</v>
      </c>
      <c r="Q157" s="20">
        <f t="shared" si="49"/>
        <v>1200</v>
      </c>
      <c r="R157" s="21">
        <f t="shared" si="50"/>
        <v>2640</v>
      </c>
    </row>
    <row r="158" spans="1:18" s="41" customFormat="1" ht="30" customHeight="1">
      <c r="A158" s="16">
        <f t="shared" si="37"/>
        <v>54</v>
      </c>
      <c r="B158" s="17" t="s">
        <v>180</v>
      </c>
      <c r="C158" s="18" t="s">
        <v>253</v>
      </c>
      <c r="D158" s="38">
        <v>1200</v>
      </c>
      <c r="E158" s="19">
        <v>1.2</v>
      </c>
      <c r="F158" s="19">
        <f t="shared" si="29"/>
        <v>1440</v>
      </c>
      <c r="G158" s="39"/>
      <c r="H158" s="20">
        <f t="shared" si="44"/>
        <v>0</v>
      </c>
      <c r="I158" s="39"/>
      <c r="J158" s="20">
        <f t="shared" si="45"/>
        <v>0</v>
      </c>
      <c r="K158" s="40"/>
      <c r="L158" s="21">
        <f t="shared" si="46"/>
        <v>0</v>
      </c>
      <c r="M158" s="40"/>
      <c r="N158" s="21">
        <f t="shared" si="47"/>
        <v>0</v>
      </c>
      <c r="O158" s="24"/>
      <c r="P158" s="21">
        <f t="shared" si="48"/>
        <v>0</v>
      </c>
      <c r="Q158" s="20">
        <f t="shared" si="49"/>
        <v>1200</v>
      </c>
      <c r="R158" s="21">
        <f t="shared" si="50"/>
        <v>1440</v>
      </c>
    </row>
    <row r="159" spans="1:18" s="41" customFormat="1" ht="30" customHeight="1">
      <c r="A159" s="16">
        <f t="shared" si="37"/>
        <v>55</v>
      </c>
      <c r="B159" s="17" t="s">
        <v>181</v>
      </c>
      <c r="C159" s="18" t="s">
        <v>251</v>
      </c>
      <c r="D159" s="38">
        <v>95000</v>
      </c>
      <c r="E159" s="19">
        <v>0.6</v>
      </c>
      <c r="F159" s="19">
        <f t="shared" si="29"/>
        <v>57000</v>
      </c>
      <c r="G159" s="39"/>
      <c r="H159" s="20">
        <f t="shared" si="44"/>
        <v>0</v>
      </c>
      <c r="I159" s="39"/>
      <c r="J159" s="20">
        <f t="shared" si="45"/>
        <v>0</v>
      </c>
      <c r="K159" s="40"/>
      <c r="L159" s="21">
        <f t="shared" si="46"/>
        <v>0</v>
      </c>
      <c r="M159" s="40"/>
      <c r="N159" s="21">
        <f t="shared" si="47"/>
        <v>0</v>
      </c>
      <c r="O159" s="24"/>
      <c r="P159" s="21">
        <f t="shared" si="48"/>
        <v>0</v>
      </c>
      <c r="Q159" s="20">
        <f t="shared" si="49"/>
        <v>95000</v>
      </c>
      <c r="R159" s="21">
        <f t="shared" si="50"/>
        <v>57000</v>
      </c>
    </row>
    <row r="160" spans="1:18" s="41" customFormat="1" ht="30" customHeight="1">
      <c r="A160" s="16">
        <f t="shared" si="37"/>
        <v>56</v>
      </c>
      <c r="B160" s="17" t="s">
        <v>182</v>
      </c>
      <c r="C160" s="18" t="s">
        <v>251</v>
      </c>
      <c r="D160" s="38">
        <v>12000</v>
      </c>
      <c r="E160" s="19">
        <v>5</v>
      </c>
      <c r="F160" s="19">
        <f t="shared" si="29"/>
        <v>60000</v>
      </c>
      <c r="G160" s="39"/>
      <c r="H160" s="20">
        <f t="shared" si="44"/>
        <v>0</v>
      </c>
      <c r="I160" s="39"/>
      <c r="J160" s="20">
        <f t="shared" si="45"/>
        <v>0</v>
      </c>
      <c r="K160" s="40"/>
      <c r="L160" s="21">
        <f t="shared" si="46"/>
        <v>0</v>
      </c>
      <c r="M160" s="40"/>
      <c r="N160" s="21">
        <f t="shared" si="47"/>
        <v>0</v>
      </c>
      <c r="O160" s="24"/>
      <c r="P160" s="21">
        <f t="shared" si="48"/>
        <v>0</v>
      </c>
      <c r="Q160" s="20">
        <f t="shared" si="49"/>
        <v>12000</v>
      </c>
      <c r="R160" s="21">
        <f t="shared" si="50"/>
        <v>60000</v>
      </c>
    </row>
    <row r="161" spans="1:18" s="41" customFormat="1" ht="30" customHeight="1">
      <c r="A161" s="16">
        <f t="shared" si="37"/>
        <v>57</v>
      </c>
      <c r="B161" s="17" t="s">
        <v>183</v>
      </c>
      <c r="C161" s="18" t="s">
        <v>123</v>
      </c>
      <c r="D161" s="38">
        <v>200000</v>
      </c>
      <c r="E161" s="19">
        <v>0.11</v>
      </c>
      <c r="F161" s="19">
        <f t="shared" si="29"/>
        <v>22000</v>
      </c>
      <c r="G161" s="39"/>
      <c r="H161" s="20">
        <f t="shared" si="44"/>
        <v>0</v>
      </c>
      <c r="I161" s="39"/>
      <c r="J161" s="20">
        <f t="shared" si="45"/>
        <v>0</v>
      </c>
      <c r="K161" s="40"/>
      <c r="L161" s="21">
        <f t="shared" si="46"/>
        <v>0</v>
      </c>
      <c r="M161" s="40"/>
      <c r="N161" s="21">
        <f t="shared" si="47"/>
        <v>0</v>
      </c>
      <c r="O161" s="24"/>
      <c r="P161" s="21">
        <f t="shared" si="48"/>
        <v>0</v>
      </c>
      <c r="Q161" s="20">
        <f t="shared" si="49"/>
        <v>200000</v>
      </c>
      <c r="R161" s="21">
        <f t="shared" si="50"/>
        <v>22000</v>
      </c>
    </row>
    <row r="162" spans="1:18" s="41" customFormat="1" ht="30" customHeight="1">
      <c r="A162" s="16">
        <f t="shared" si="37"/>
        <v>58</v>
      </c>
      <c r="B162" s="17" t="s">
        <v>184</v>
      </c>
      <c r="C162" s="18" t="s">
        <v>254</v>
      </c>
      <c r="D162" s="38">
        <v>15000</v>
      </c>
      <c r="E162" s="19">
        <v>0.6</v>
      </c>
      <c r="F162" s="19">
        <f t="shared" si="29"/>
        <v>9000</v>
      </c>
      <c r="G162" s="39"/>
      <c r="H162" s="20">
        <f t="shared" si="44"/>
        <v>0</v>
      </c>
      <c r="I162" s="39"/>
      <c r="J162" s="20">
        <f t="shared" si="45"/>
        <v>0</v>
      </c>
      <c r="K162" s="40"/>
      <c r="L162" s="21">
        <f t="shared" si="46"/>
        <v>0</v>
      </c>
      <c r="M162" s="40"/>
      <c r="N162" s="21">
        <f t="shared" si="47"/>
        <v>0</v>
      </c>
      <c r="O162" s="24"/>
      <c r="P162" s="21">
        <f t="shared" si="48"/>
        <v>0</v>
      </c>
      <c r="Q162" s="20">
        <f t="shared" si="49"/>
        <v>15000</v>
      </c>
      <c r="R162" s="21">
        <f t="shared" si="50"/>
        <v>9000</v>
      </c>
    </row>
    <row r="163" spans="1:18" s="41" customFormat="1" ht="30" customHeight="1">
      <c r="A163" s="16">
        <f t="shared" si="37"/>
        <v>59</v>
      </c>
      <c r="B163" s="17" t="s">
        <v>185</v>
      </c>
      <c r="C163" s="18" t="s">
        <v>254</v>
      </c>
      <c r="D163" s="38">
        <v>10000</v>
      </c>
      <c r="E163" s="19">
        <v>0.5</v>
      </c>
      <c r="F163" s="19">
        <f t="shared" si="29"/>
        <v>5000</v>
      </c>
      <c r="G163" s="39"/>
      <c r="H163" s="20">
        <f t="shared" si="44"/>
        <v>0</v>
      </c>
      <c r="I163" s="39"/>
      <c r="J163" s="20">
        <f t="shared" si="45"/>
        <v>0</v>
      </c>
      <c r="K163" s="40"/>
      <c r="L163" s="21">
        <f t="shared" si="46"/>
        <v>0</v>
      </c>
      <c r="M163" s="40"/>
      <c r="N163" s="21">
        <f t="shared" si="47"/>
        <v>0</v>
      </c>
      <c r="O163" s="24"/>
      <c r="P163" s="21">
        <f t="shared" si="48"/>
        <v>0</v>
      </c>
      <c r="Q163" s="20">
        <f t="shared" si="49"/>
        <v>10000</v>
      </c>
      <c r="R163" s="21">
        <f t="shared" si="50"/>
        <v>5000</v>
      </c>
    </row>
    <row r="164" spans="1:18" s="41" customFormat="1" ht="30" customHeight="1">
      <c r="A164" s="16">
        <f t="shared" si="37"/>
        <v>60</v>
      </c>
      <c r="B164" s="17" t="s">
        <v>186</v>
      </c>
      <c r="C164" s="18" t="s">
        <v>254</v>
      </c>
      <c r="D164" s="38">
        <v>15000</v>
      </c>
      <c r="E164" s="19">
        <v>1</v>
      </c>
      <c r="F164" s="19">
        <f t="shared" si="29"/>
        <v>15000</v>
      </c>
      <c r="G164" s="39"/>
      <c r="H164" s="20">
        <f t="shared" si="44"/>
        <v>0</v>
      </c>
      <c r="I164" s="39"/>
      <c r="J164" s="20">
        <f t="shared" si="45"/>
        <v>0</v>
      </c>
      <c r="K164" s="40"/>
      <c r="L164" s="21">
        <f t="shared" si="46"/>
        <v>0</v>
      </c>
      <c r="M164" s="40"/>
      <c r="N164" s="21">
        <f t="shared" si="47"/>
        <v>0</v>
      </c>
      <c r="O164" s="24"/>
      <c r="P164" s="21">
        <f t="shared" si="48"/>
        <v>0</v>
      </c>
      <c r="Q164" s="20">
        <f t="shared" si="49"/>
        <v>15000</v>
      </c>
      <c r="R164" s="21">
        <f t="shared" si="50"/>
        <v>15000</v>
      </c>
    </row>
    <row r="165" spans="1:18" s="41" customFormat="1" ht="30" customHeight="1">
      <c r="A165" s="16">
        <f t="shared" si="37"/>
        <v>61</v>
      </c>
      <c r="B165" s="17" t="s">
        <v>187</v>
      </c>
      <c r="C165" s="18" t="s">
        <v>254</v>
      </c>
      <c r="D165" s="38">
        <v>20000</v>
      </c>
      <c r="E165" s="19">
        <v>1</v>
      </c>
      <c r="F165" s="19">
        <f t="shared" si="29"/>
        <v>20000</v>
      </c>
      <c r="G165" s="39"/>
      <c r="H165" s="20">
        <f t="shared" si="44"/>
        <v>0</v>
      </c>
      <c r="I165" s="39"/>
      <c r="J165" s="20">
        <f t="shared" si="45"/>
        <v>0</v>
      </c>
      <c r="K165" s="40"/>
      <c r="L165" s="21">
        <f t="shared" si="46"/>
        <v>0</v>
      </c>
      <c r="M165" s="40"/>
      <c r="N165" s="21">
        <f t="shared" si="47"/>
        <v>0</v>
      </c>
      <c r="O165" s="24"/>
      <c r="P165" s="21">
        <f t="shared" si="48"/>
        <v>0</v>
      </c>
      <c r="Q165" s="20">
        <f t="shared" si="49"/>
        <v>20000</v>
      </c>
      <c r="R165" s="21">
        <f t="shared" si="50"/>
        <v>20000</v>
      </c>
    </row>
    <row r="166" spans="1:18" s="41" customFormat="1" ht="30" customHeight="1">
      <c r="A166" s="16">
        <f t="shared" si="37"/>
        <v>62</v>
      </c>
      <c r="B166" s="17" t="s">
        <v>188</v>
      </c>
      <c r="C166" s="18" t="s">
        <v>257</v>
      </c>
      <c r="D166" s="38">
        <v>28000</v>
      </c>
      <c r="E166" s="19">
        <v>0.25</v>
      </c>
      <c r="F166" s="19">
        <f t="shared" si="29"/>
        <v>7000</v>
      </c>
      <c r="G166" s="39"/>
      <c r="H166" s="20">
        <f t="shared" si="44"/>
        <v>0</v>
      </c>
      <c r="I166" s="39"/>
      <c r="J166" s="20">
        <f t="shared" si="45"/>
        <v>0</v>
      </c>
      <c r="K166" s="40"/>
      <c r="L166" s="21">
        <f t="shared" si="46"/>
        <v>0</v>
      </c>
      <c r="M166" s="40"/>
      <c r="N166" s="21">
        <f t="shared" si="47"/>
        <v>0</v>
      </c>
      <c r="O166" s="24"/>
      <c r="P166" s="21">
        <f t="shared" si="48"/>
        <v>0</v>
      </c>
      <c r="Q166" s="20">
        <f t="shared" si="49"/>
        <v>28000</v>
      </c>
      <c r="R166" s="21">
        <f t="shared" si="50"/>
        <v>7000</v>
      </c>
    </row>
    <row r="167" spans="1:18" s="41" customFormat="1" ht="30" customHeight="1">
      <c r="A167" s="16">
        <f t="shared" si="37"/>
        <v>63</v>
      </c>
      <c r="B167" s="17" t="s">
        <v>189</v>
      </c>
      <c r="C167" s="18" t="s">
        <v>254</v>
      </c>
      <c r="D167" s="38">
        <v>35000</v>
      </c>
      <c r="E167" s="19">
        <v>2</v>
      </c>
      <c r="F167" s="19">
        <f t="shared" si="29"/>
        <v>70000</v>
      </c>
      <c r="G167" s="39"/>
      <c r="H167" s="20">
        <f t="shared" si="44"/>
        <v>0</v>
      </c>
      <c r="I167" s="39"/>
      <c r="J167" s="20">
        <f t="shared" si="45"/>
        <v>0</v>
      </c>
      <c r="K167" s="40"/>
      <c r="L167" s="21">
        <f t="shared" si="46"/>
        <v>0</v>
      </c>
      <c r="M167" s="40"/>
      <c r="N167" s="21">
        <f t="shared" si="47"/>
        <v>0</v>
      </c>
      <c r="O167" s="24"/>
      <c r="P167" s="21">
        <f t="shared" si="48"/>
        <v>0</v>
      </c>
      <c r="Q167" s="20">
        <f t="shared" si="49"/>
        <v>35000</v>
      </c>
      <c r="R167" s="21">
        <f t="shared" si="50"/>
        <v>70000</v>
      </c>
    </row>
    <row r="168" spans="1:18" s="41" customFormat="1" ht="30" customHeight="1">
      <c r="A168" s="16">
        <f t="shared" si="37"/>
        <v>64</v>
      </c>
      <c r="B168" s="17" t="s">
        <v>190</v>
      </c>
      <c r="C168" s="18" t="s">
        <v>254</v>
      </c>
      <c r="D168" s="38">
        <v>35000</v>
      </c>
      <c r="E168" s="19">
        <v>2</v>
      </c>
      <c r="F168" s="19">
        <f t="shared" si="29"/>
        <v>70000</v>
      </c>
      <c r="G168" s="39"/>
      <c r="H168" s="20">
        <f t="shared" si="44"/>
        <v>0</v>
      </c>
      <c r="I168" s="39"/>
      <c r="J168" s="20">
        <f t="shared" si="45"/>
        <v>0</v>
      </c>
      <c r="K168" s="40"/>
      <c r="L168" s="21">
        <f t="shared" si="46"/>
        <v>0</v>
      </c>
      <c r="M168" s="40"/>
      <c r="N168" s="21">
        <f t="shared" si="47"/>
        <v>0</v>
      </c>
      <c r="O168" s="24"/>
      <c r="P168" s="21">
        <f t="shared" si="48"/>
        <v>0</v>
      </c>
      <c r="Q168" s="20">
        <f t="shared" si="49"/>
        <v>35000</v>
      </c>
      <c r="R168" s="21">
        <f t="shared" si="50"/>
        <v>70000</v>
      </c>
    </row>
    <row r="169" spans="1:18" s="41" customFormat="1" ht="30" customHeight="1">
      <c r="A169" s="16">
        <f t="shared" si="37"/>
        <v>65</v>
      </c>
      <c r="B169" s="17" t="s">
        <v>191</v>
      </c>
      <c r="C169" s="18" t="s">
        <v>254</v>
      </c>
      <c r="D169" s="38">
        <v>30000</v>
      </c>
      <c r="E169" s="19">
        <v>1.5</v>
      </c>
      <c r="F169" s="19">
        <f t="shared" si="29"/>
        <v>45000</v>
      </c>
      <c r="G169" s="39"/>
      <c r="H169" s="20">
        <f t="shared" si="44"/>
        <v>0</v>
      </c>
      <c r="I169" s="39"/>
      <c r="J169" s="20">
        <f t="shared" si="45"/>
        <v>0</v>
      </c>
      <c r="K169" s="40"/>
      <c r="L169" s="21">
        <f t="shared" si="46"/>
        <v>0</v>
      </c>
      <c r="M169" s="40"/>
      <c r="N169" s="21">
        <f t="shared" si="47"/>
        <v>0</v>
      </c>
      <c r="O169" s="24"/>
      <c r="P169" s="21">
        <f t="shared" si="48"/>
        <v>0</v>
      </c>
      <c r="Q169" s="20">
        <f t="shared" si="49"/>
        <v>30000</v>
      </c>
      <c r="R169" s="21">
        <f t="shared" si="50"/>
        <v>45000</v>
      </c>
    </row>
    <row r="170" spans="1:18" s="41" customFormat="1" ht="30" customHeight="1">
      <c r="A170" s="16">
        <f t="shared" si="37"/>
        <v>66</v>
      </c>
      <c r="B170" s="17" t="s">
        <v>192</v>
      </c>
      <c r="C170" s="18" t="s">
        <v>254</v>
      </c>
      <c r="D170" s="38">
        <v>7500</v>
      </c>
      <c r="E170" s="19">
        <v>1.2</v>
      </c>
      <c r="F170" s="19">
        <f t="shared" si="29"/>
        <v>9000</v>
      </c>
      <c r="G170" s="39"/>
      <c r="H170" s="20">
        <f t="shared" si="44"/>
        <v>0</v>
      </c>
      <c r="I170" s="39"/>
      <c r="J170" s="20">
        <f t="shared" si="45"/>
        <v>0</v>
      </c>
      <c r="K170" s="40"/>
      <c r="L170" s="21">
        <f t="shared" si="46"/>
        <v>0</v>
      </c>
      <c r="M170" s="40"/>
      <c r="N170" s="21">
        <f t="shared" si="47"/>
        <v>0</v>
      </c>
      <c r="O170" s="24"/>
      <c r="P170" s="21">
        <f t="shared" si="48"/>
        <v>0</v>
      </c>
      <c r="Q170" s="20">
        <f t="shared" si="49"/>
        <v>7500</v>
      </c>
      <c r="R170" s="21">
        <f t="shared" si="50"/>
        <v>9000</v>
      </c>
    </row>
    <row r="171" spans="1:18" s="41" customFormat="1" ht="30" customHeight="1">
      <c r="A171" s="16">
        <f t="shared" si="37"/>
        <v>67</v>
      </c>
      <c r="B171" s="17" t="s">
        <v>193</v>
      </c>
      <c r="C171" s="18" t="s">
        <v>258</v>
      </c>
      <c r="D171" s="38">
        <v>55000</v>
      </c>
      <c r="E171" s="19">
        <v>1</v>
      </c>
      <c r="F171" s="19">
        <f t="shared" si="29"/>
        <v>55000</v>
      </c>
      <c r="G171" s="39"/>
      <c r="H171" s="20">
        <f t="shared" si="44"/>
        <v>0</v>
      </c>
      <c r="I171" s="39"/>
      <c r="J171" s="20">
        <f t="shared" si="45"/>
        <v>0</v>
      </c>
      <c r="K171" s="40"/>
      <c r="L171" s="21">
        <f t="shared" si="46"/>
        <v>0</v>
      </c>
      <c r="M171" s="40"/>
      <c r="N171" s="21">
        <f t="shared" si="47"/>
        <v>0</v>
      </c>
      <c r="O171" s="24"/>
      <c r="P171" s="21">
        <f t="shared" si="48"/>
        <v>0</v>
      </c>
      <c r="Q171" s="20">
        <f t="shared" si="49"/>
        <v>55000</v>
      </c>
      <c r="R171" s="21">
        <f t="shared" si="50"/>
        <v>55000</v>
      </c>
    </row>
    <row r="172" spans="1:18" s="41" customFormat="1" ht="30" customHeight="1">
      <c r="A172" s="16">
        <f t="shared" ref="A172:A228" si="51">A171+1</f>
        <v>68</v>
      </c>
      <c r="B172" s="17" t="s">
        <v>194</v>
      </c>
      <c r="C172" s="18" t="s">
        <v>251</v>
      </c>
      <c r="D172" s="38">
        <v>8200</v>
      </c>
      <c r="E172" s="19">
        <v>2.5</v>
      </c>
      <c r="F172" s="19">
        <f t="shared" si="29"/>
        <v>20500</v>
      </c>
      <c r="G172" s="39"/>
      <c r="H172" s="20">
        <f t="shared" si="44"/>
        <v>0</v>
      </c>
      <c r="I172" s="39"/>
      <c r="J172" s="20">
        <f t="shared" si="45"/>
        <v>0</v>
      </c>
      <c r="K172" s="40"/>
      <c r="L172" s="21">
        <f t="shared" si="46"/>
        <v>0</v>
      </c>
      <c r="M172" s="40"/>
      <c r="N172" s="21">
        <f t="shared" si="47"/>
        <v>0</v>
      </c>
      <c r="O172" s="24"/>
      <c r="P172" s="21">
        <f t="shared" si="48"/>
        <v>0</v>
      </c>
      <c r="Q172" s="20">
        <f t="shared" si="49"/>
        <v>8200</v>
      </c>
      <c r="R172" s="21">
        <f t="shared" si="50"/>
        <v>20500</v>
      </c>
    </row>
    <row r="173" spans="1:18" s="41" customFormat="1" ht="30" customHeight="1">
      <c r="A173" s="16">
        <f t="shared" si="51"/>
        <v>69</v>
      </c>
      <c r="B173" s="17" t="s">
        <v>195</v>
      </c>
      <c r="C173" s="18" t="s">
        <v>251</v>
      </c>
      <c r="D173" s="38">
        <v>7200</v>
      </c>
      <c r="E173" s="19">
        <v>1.6</v>
      </c>
      <c r="F173" s="19">
        <f t="shared" si="29"/>
        <v>11520</v>
      </c>
      <c r="G173" s="39"/>
      <c r="H173" s="20">
        <f t="shared" si="44"/>
        <v>0</v>
      </c>
      <c r="I173" s="39"/>
      <c r="J173" s="20">
        <f t="shared" si="45"/>
        <v>0</v>
      </c>
      <c r="K173" s="40"/>
      <c r="L173" s="21">
        <f t="shared" si="46"/>
        <v>0</v>
      </c>
      <c r="M173" s="40"/>
      <c r="N173" s="21">
        <f t="shared" si="47"/>
        <v>0</v>
      </c>
      <c r="O173" s="24"/>
      <c r="P173" s="21">
        <f t="shared" si="48"/>
        <v>0</v>
      </c>
      <c r="Q173" s="20">
        <f t="shared" si="49"/>
        <v>7200</v>
      </c>
      <c r="R173" s="21">
        <f t="shared" si="50"/>
        <v>11520</v>
      </c>
    </row>
    <row r="174" spans="1:18" s="41" customFormat="1" ht="30" customHeight="1">
      <c r="A174" s="16">
        <f t="shared" si="51"/>
        <v>70</v>
      </c>
      <c r="B174" s="17" t="s">
        <v>196</v>
      </c>
      <c r="C174" s="18" t="s">
        <v>252</v>
      </c>
      <c r="D174" s="38">
        <v>500000</v>
      </c>
      <c r="E174" s="19">
        <v>0.15</v>
      </c>
      <c r="F174" s="19">
        <f t="shared" si="29"/>
        <v>75000</v>
      </c>
      <c r="G174" s="39"/>
      <c r="H174" s="20">
        <f t="shared" si="44"/>
        <v>0</v>
      </c>
      <c r="I174" s="39"/>
      <c r="J174" s="20">
        <f t="shared" si="45"/>
        <v>0</v>
      </c>
      <c r="K174" s="40"/>
      <c r="L174" s="21">
        <f t="shared" si="46"/>
        <v>0</v>
      </c>
      <c r="M174" s="40"/>
      <c r="N174" s="21">
        <f t="shared" si="47"/>
        <v>0</v>
      </c>
      <c r="O174" s="24"/>
      <c r="P174" s="21">
        <f t="shared" si="48"/>
        <v>0</v>
      </c>
      <c r="Q174" s="20">
        <f t="shared" si="49"/>
        <v>500000</v>
      </c>
      <c r="R174" s="21">
        <f t="shared" si="50"/>
        <v>75000</v>
      </c>
    </row>
    <row r="175" spans="1:18" s="41" customFormat="1" ht="30" customHeight="1">
      <c r="A175" s="16">
        <f t="shared" si="51"/>
        <v>71</v>
      </c>
      <c r="B175" s="17" t="s">
        <v>197</v>
      </c>
      <c r="C175" s="18" t="s">
        <v>251</v>
      </c>
      <c r="D175" s="38">
        <v>22000</v>
      </c>
      <c r="E175" s="19">
        <v>6</v>
      </c>
      <c r="F175" s="19">
        <f t="shared" si="29"/>
        <v>132000</v>
      </c>
      <c r="G175" s="39"/>
      <c r="H175" s="20">
        <f t="shared" si="44"/>
        <v>0</v>
      </c>
      <c r="I175" s="39"/>
      <c r="J175" s="20">
        <f t="shared" si="45"/>
        <v>0</v>
      </c>
      <c r="K175" s="40"/>
      <c r="L175" s="21">
        <f t="shared" si="46"/>
        <v>0</v>
      </c>
      <c r="M175" s="40"/>
      <c r="N175" s="21">
        <f t="shared" si="47"/>
        <v>0</v>
      </c>
      <c r="O175" s="24"/>
      <c r="P175" s="21">
        <f t="shared" si="48"/>
        <v>0</v>
      </c>
      <c r="Q175" s="20">
        <f t="shared" si="49"/>
        <v>22000</v>
      </c>
      <c r="R175" s="21">
        <f t="shared" si="50"/>
        <v>132000</v>
      </c>
    </row>
    <row r="176" spans="1:18" s="41" customFormat="1" ht="30" customHeight="1">
      <c r="A176" s="16">
        <f t="shared" si="51"/>
        <v>72</v>
      </c>
      <c r="B176" s="17" t="s">
        <v>198</v>
      </c>
      <c r="C176" s="18" t="s">
        <v>252</v>
      </c>
      <c r="D176" s="38">
        <v>1500000</v>
      </c>
      <c r="E176" s="19">
        <v>0.35</v>
      </c>
      <c r="F176" s="19">
        <f t="shared" si="29"/>
        <v>525000</v>
      </c>
      <c r="G176" s="39"/>
      <c r="H176" s="20">
        <f t="shared" si="44"/>
        <v>0</v>
      </c>
      <c r="I176" s="39"/>
      <c r="J176" s="20">
        <f t="shared" si="45"/>
        <v>0</v>
      </c>
      <c r="K176" s="40"/>
      <c r="L176" s="21">
        <f t="shared" si="46"/>
        <v>0</v>
      </c>
      <c r="M176" s="40"/>
      <c r="N176" s="21">
        <f t="shared" si="47"/>
        <v>0</v>
      </c>
      <c r="O176" s="24"/>
      <c r="P176" s="21">
        <f t="shared" si="48"/>
        <v>0</v>
      </c>
      <c r="Q176" s="20">
        <f t="shared" si="49"/>
        <v>1500000</v>
      </c>
      <c r="R176" s="21">
        <f t="shared" si="50"/>
        <v>525000</v>
      </c>
    </row>
    <row r="177" spans="1:18" s="41" customFormat="1" ht="30" customHeight="1">
      <c r="A177" s="16">
        <f t="shared" si="51"/>
        <v>73</v>
      </c>
      <c r="B177" s="17" t="s">
        <v>199</v>
      </c>
      <c r="C177" s="18" t="s">
        <v>256</v>
      </c>
      <c r="D177" s="38">
        <v>12000</v>
      </c>
      <c r="E177" s="19">
        <v>1.8</v>
      </c>
      <c r="F177" s="19">
        <f t="shared" si="29"/>
        <v>21600</v>
      </c>
      <c r="G177" s="39"/>
      <c r="H177" s="20">
        <f t="shared" si="44"/>
        <v>0</v>
      </c>
      <c r="I177" s="39"/>
      <c r="J177" s="20">
        <f t="shared" si="45"/>
        <v>0</v>
      </c>
      <c r="K177" s="40"/>
      <c r="L177" s="21">
        <f t="shared" si="46"/>
        <v>0</v>
      </c>
      <c r="M177" s="40"/>
      <c r="N177" s="21">
        <f t="shared" si="47"/>
        <v>0</v>
      </c>
      <c r="O177" s="24"/>
      <c r="P177" s="21">
        <f t="shared" si="48"/>
        <v>0</v>
      </c>
      <c r="Q177" s="20">
        <f t="shared" si="49"/>
        <v>12000</v>
      </c>
      <c r="R177" s="21">
        <f t="shared" si="50"/>
        <v>21600</v>
      </c>
    </row>
    <row r="178" spans="1:18" s="41" customFormat="1" ht="30" customHeight="1">
      <c r="A178" s="16">
        <f t="shared" si="51"/>
        <v>74</v>
      </c>
      <c r="B178" s="17" t="s">
        <v>200</v>
      </c>
      <c r="C178" s="18" t="s">
        <v>253</v>
      </c>
      <c r="D178" s="38">
        <v>750000</v>
      </c>
      <c r="E178" s="19">
        <v>0.15</v>
      </c>
      <c r="F178" s="19">
        <f t="shared" si="29"/>
        <v>112500</v>
      </c>
      <c r="G178" s="39"/>
      <c r="H178" s="20">
        <f t="shared" si="44"/>
        <v>0</v>
      </c>
      <c r="I178" s="39"/>
      <c r="J178" s="20">
        <f t="shared" si="45"/>
        <v>0</v>
      </c>
      <c r="K178" s="40"/>
      <c r="L178" s="21">
        <f t="shared" si="46"/>
        <v>0</v>
      </c>
      <c r="M178" s="40"/>
      <c r="N178" s="21">
        <f t="shared" si="47"/>
        <v>0</v>
      </c>
      <c r="O178" s="24"/>
      <c r="P178" s="21">
        <f t="shared" si="48"/>
        <v>0</v>
      </c>
      <c r="Q178" s="20">
        <f t="shared" si="49"/>
        <v>750000</v>
      </c>
      <c r="R178" s="21">
        <f t="shared" si="50"/>
        <v>112500</v>
      </c>
    </row>
    <row r="179" spans="1:18" s="41" customFormat="1" ht="30" customHeight="1">
      <c r="A179" s="16">
        <f t="shared" si="51"/>
        <v>75</v>
      </c>
      <c r="B179" s="17" t="s">
        <v>201</v>
      </c>
      <c r="C179" s="18" t="s">
        <v>255</v>
      </c>
      <c r="D179" s="38">
        <v>1000000</v>
      </c>
      <c r="E179" s="19">
        <v>0.5</v>
      </c>
      <c r="F179" s="19">
        <f t="shared" si="29"/>
        <v>500000</v>
      </c>
      <c r="G179" s="39"/>
      <c r="H179" s="20">
        <f t="shared" si="44"/>
        <v>0</v>
      </c>
      <c r="I179" s="39"/>
      <c r="J179" s="20">
        <f t="shared" si="45"/>
        <v>0</v>
      </c>
      <c r="K179" s="40"/>
      <c r="L179" s="21">
        <f t="shared" si="46"/>
        <v>0</v>
      </c>
      <c r="M179" s="40"/>
      <c r="N179" s="21">
        <f t="shared" si="47"/>
        <v>0</v>
      </c>
      <c r="O179" s="24"/>
      <c r="P179" s="21">
        <f t="shared" si="48"/>
        <v>0</v>
      </c>
      <c r="Q179" s="20">
        <f t="shared" si="49"/>
        <v>1000000</v>
      </c>
      <c r="R179" s="21">
        <f t="shared" si="50"/>
        <v>500000</v>
      </c>
    </row>
    <row r="180" spans="1:18" s="41" customFormat="1" ht="30" customHeight="1">
      <c r="A180" s="16">
        <f t="shared" si="51"/>
        <v>76</v>
      </c>
      <c r="B180" s="17" t="s">
        <v>202</v>
      </c>
      <c r="C180" s="18" t="s">
        <v>251</v>
      </c>
      <c r="D180" s="38">
        <v>500000</v>
      </c>
      <c r="E180" s="19">
        <v>1.1000000000000001</v>
      </c>
      <c r="F180" s="19">
        <f t="shared" si="29"/>
        <v>550000</v>
      </c>
      <c r="G180" s="39"/>
      <c r="H180" s="20">
        <f t="shared" si="44"/>
        <v>0</v>
      </c>
      <c r="I180" s="39"/>
      <c r="J180" s="20">
        <f t="shared" si="45"/>
        <v>0</v>
      </c>
      <c r="K180" s="40"/>
      <c r="L180" s="21">
        <f t="shared" si="46"/>
        <v>0</v>
      </c>
      <c r="M180" s="40"/>
      <c r="N180" s="21">
        <f t="shared" si="47"/>
        <v>0</v>
      </c>
      <c r="O180" s="24"/>
      <c r="P180" s="21">
        <f t="shared" si="48"/>
        <v>0</v>
      </c>
      <c r="Q180" s="20">
        <f t="shared" si="49"/>
        <v>500000</v>
      </c>
      <c r="R180" s="21">
        <f t="shared" si="50"/>
        <v>550000</v>
      </c>
    </row>
    <row r="181" spans="1:18" s="41" customFormat="1" ht="30" customHeight="1">
      <c r="A181" s="16">
        <f t="shared" si="51"/>
        <v>77</v>
      </c>
      <c r="B181" s="17" t="s">
        <v>203</v>
      </c>
      <c r="C181" s="18" t="s">
        <v>251</v>
      </c>
      <c r="D181" s="38">
        <v>200000</v>
      </c>
      <c r="E181" s="19">
        <v>1.8</v>
      </c>
      <c r="F181" s="19">
        <f t="shared" si="29"/>
        <v>360000</v>
      </c>
      <c r="G181" s="39"/>
      <c r="H181" s="20">
        <f t="shared" si="44"/>
        <v>0</v>
      </c>
      <c r="I181" s="39"/>
      <c r="J181" s="20">
        <f t="shared" si="45"/>
        <v>0</v>
      </c>
      <c r="K181" s="40"/>
      <c r="L181" s="21">
        <f t="shared" si="46"/>
        <v>0</v>
      </c>
      <c r="M181" s="40"/>
      <c r="N181" s="21">
        <f t="shared" si="47"/>
        <v>0</v>
      </c>
      <c r="O181" s="24"/>
      <c r="P181" s="21">
        <f t="shared" si="48"/>
        <v>0</v>
      </c>
      <c r="Q181" s="20">
        <f t="shared" si="49"/>
        <v>200000</v>
      </c>
      <c r="R181" s="21">
        <f t="shared" si="50"/>
        <v>360000</v>
      </c>
    </row>
    <row r="182" spans="1:18" s="41" customFormat="1" ht="30" customHeight="1">
      <c r="A182" s="16">
        <f t="shared" si="51"/>
        <v>78</v>
      </c>
      <c r="B182" s="17" t="s">
        <v>204</v>
      </c>
      <c r="C182" s="18" t="s">
        <v>253</v>
      </c>
      <c r="D182" s="38">
        <v>300000</v>
      </c>
      <c r="E182" s="19">
        <v>0.15</v>
      </c>
      <c r="F182" s="19">
        <f t="shared" si="29"/>
        <v>45000</v>
      </c>
      <c r="G182" s="39"/>
      <c r="H182" s="20">
        <f t="shared" si="44"/>
        <v>0</v>
      </c>
      <c r="I182" s="39"/>
      <c r="J182" s="20">
        <f t="shared" si="45"/>
        <v>0</v>
      </c>
      <c r="K182" s="40"/>
      <c r="L182" s="21">
        <f t="shared" si="46"/>
        <v>0</v>
      </c>
      <c r="M182" s="40"/>
      <c r="N182" s="21">
        <f t="shared" si="47"/>
        <v>0</v>
      </c>
      <c r="O182" s="24"/>
      <c r="P182" s="21">
        <f t="shared" si="48"/>
        <v>0</v>
      </c>
      <c r="Q182" s="20">
        <f t="shared" si="49"/>
        <v>300000</v>
      </c>
      <c r="R182" s="21">
        <f t="shared" si="50"/>
        <v>45000</v>
      </c>
    </row>
    <row r="183" spans="1:18" s="41" customFormat="1" ht="30" customHeight="1">
      <c r="A183" s="16">
        <f t="shared" si="51"/>
        <v>79</v>
      </c>
      <c r="B183" s="17" t="s">
        <v>205</v>
      </c>
      <c r="C183" s="18" t="s">
        <v>253</v>
      </c>
      <c r="D183" s="38">
        <v>300000</v>
      </c>
      <c r="E183" s="19">
        <v>0.05</v>
      </c>
      <c r="F183" s="19">
        <f t="shared" si="29"/>
        <v>15000</v>
      </c>
      <c r="G183" s="39"/>
      <c r="H183" s="20">
        <f t="shared" si="44"/>
        <v>0</v>
      </c>
      <c r="I183" s="39"/>
      <c r="J183" s="20">
        <f t="shared" si="45"/>
        <v>0</v>
      </c>
      <c r="K183" s="40"/>
      <c r="L183" s="21">
        <f t="shared" si="46"/>
        <v>0</v>
      </c>
      <c r="M183" s="40"/>
      <c r="N183" s="21">
        <f t="shared" si="47"/>
        <v>0</v>
      </c>
      <c r="O183" s="24"/>
      <c r="P183" s="21">
        <f t="shared" si="48"/>
        <v>0</v>
      </c>
      <c r="Q183" s="20">
        <f t="shared" si="49"/>
        <v>300000</v>
      </c>
      <c r="R183" s="21">
        <f t="shared" si="50"/>
        <v>15000</v>
      </c>
    </row>
    <row r="184" spans="1:18" s="41" customFormat="1" ht="30" customHeight="1">
      <c r="A184" s="16">
        <f t="shared" si="51"/>
        <v>80</v>
      </c>
      <c r="B184" s="17" t="s">
        <v>206</v>
      </c>
      <c r="C184" s="18" t="s">
        <v>253</v>
      </c>
      <c r="D184" s="38">
        <v>300000</v>
      </c>
      <c r="E184" s="19">
        <v>0.2</v>
      </c>
      <c r="F184" s="19">
        <f t="shared" si="29"/>
        <v>60000</v>
      </c>
      <c r="G184" s="39"/>
      <c r="H184" s="20">
        <f t="shared" si="44"/>
        <v>0</v>
      </c>
      <c r="I184" s="39"/>
      <c r="J184" s="20">
        <f t="shared" si="45"/>
        <v>0</v>
      </c>
      <c r="K184" s="40"/>
      <c r="L184" s="21">
        <f t="shared" si="46"/>
        <v>0</v>
      </c>
      <c r="M184" s="40"/>
      <c r="N184" s="21">
        <f t="shared" si="47"/>
        <v>0</v>
      </c>
      <c r="O184" s="24"/>
      <c r="P184" s="21">
        <f t="shared" si="48"/>
        <v>0</v>
      </c>
      <c r="Q184" s="20">
        <f t="shared" si="49"/>
        <v>300000</v>
      </c>
      <c r="R184" s="21">
        <f t="shared" si="50"/>
        <v>60000</v>
      </c>
    </row>
    <row r="185" spans="1:18" s="41" customFormat="1" ht="30" customHeight="1">
      <c r="A185" s="16">
        <f t="shared" si="51"/>
        <v>81</v>
      </c>
      <c r="B185" s="17" t="s">
        <v>207</v>
      </c>
      <c r="C185" s="18" t="s">
        <v>253</v>
      </c>
      <c r="D185" s="38">
        <v>300000</v>
      </c>
      <c r="E185" s="19">
        <v>0.8</v>
      </c>
      <c r="F185" s="19">
        <f t="shared" si="29"/>
        <v>240000</v>
      </c>
      <c r="G185" s="39"/>
      <c r="H185" s="20">
        <f t="shared" si="44"/>
        <v>0</v>
      </c>
      <c r="I185" s="39"/>
      <c r="J185" s="20">
        <f t="shared" si="45"/>
        <v>0</v>
      </c>
      <c r="K185" s="40"/>
      <c r="L185" s="21">
        <f t="shared" si="46"/>
        <v>0</v>
      </c>
      <c r="M185" s="40"/>
      <c r="N185" s="21">
        <f t="shared" si="47"/>
        <v>0</v>
      </c>
      <c r="O185" s="24"/>
      <c r="P185" s="21">
        <f t="shared" si="48"/>
        <v>0</v>
      </c>
      <c r="Q185" s="20">
        <f t="shared" si="49"/>
        <v>300000</v>
      </c>
      <c r="R185" s="21">
        <f t="shared" si="50"/>
        <v>240000</v>
      </c>
    </row>
    <row r="186" spans="1:18" s="41" customFormat="1" ht="30" customHeight="1">
      <c r="A186" s="16">
        <f t="shared" si="51"/>
        <v>82</v>
      </c>
      <c r="B186" s="17" t="s">
        <v>208</v>
      </c>
      <c r="C186" s="18" t="s">
        <v>253</v>
      </c>
      <c r="D186" s="38">
        <v>300000</v>
      </c>
      <c r="E186" s="19">
        <v>0.02</v>
      </c>
      <c r="F186" s="19">
        <f t="shared" si="29"/>
        <v>6000</v>
      </c>
      <c r="G186" s="39"/>
      <c r="H186" s="20">
        <f t="shared" si="44"/>
        <v>0</v>
      </c>
      <c r="I186" s="39"/>
      <c r="J186" s="20">
        <f t="shared" si="45"/>
        <v>0</v>
      </c>
      <c r="K186" s="40"/>
      <c r="L186" s="21">
        <f t="shared" si="46"/>
        <v>0</v>
      </c>
      <c r="M186" s="40"/>
      <c r="N186" s="21">
        <f t="shared" si="47"/>
        <v>0</v>
      </c>
      <c r="O186" s="24"/>
      <c r="P186" s="21">
        <f t="shared" si="48"/>
        <v>0</v>
      </c>
      <c r="Q186" s="20">
        <f t="shared" si="49"/>
        <v>300000</v>
      </c>
      <c r="R186" s="21">
        <f t="shared" si="50"/>
        <v>6000</v>
      </c>
    </row>
    <row r="187" spans="1:18" s="41" customFormat="1" ht="30" customHeight="1">
      <c r="A187" s="16">
        <f t="shared" si="51"/>
        <v>83</v>
      </c>
      <c r="B187" s="17" t="s">
        <v>209</v>
      </c>
      <c r="C187" s="18" t="s">
        <v>251</v>
      </c>
      <c r="D187" s="38">
        <v>120000</v>
      </c>
      <c r="E187" s="19">
        <v>1.2</v>
      </c>
      <c r="F187" s="19">
        <f t="shared" si="29"/>
        <v>144000</v>
      </c>
      <c r="G187" s="39"/>
      <c r="H187" s="20">
        <f t="shared" si="44"/>
        <v>0</v>
      </c>
      <c r="I187" s="39"/>
      <c r="J187" s="20">
        <f t="shared" si="45"/>
        <v>0</v>
      </c>
      <c r="K187" s="40"/>
      <c r="L187" s="21">
        <f t="shared" si="46"/>
        <v>0</v>
      </c>
      <c r="M187" s="40"/>
      <c r="N187" s="21">
        <f t="shared" si="47"/>
        <v>0</v>
      </c>
      <c r="O187" s="24"/>
      <c r="P187" s="21">
        <f t="shared" si="48"/>
        <v>0</v>
      </c>
      <c r="Q187" s="20">
        <f t="shared" si="49"/>
        <v>120000</v>
      </c>
      <c r="R187" s="21">
        <f t="shared" si="50"/>
        <v>144000</v>
      </c>
    </row>
    <row r="188" spans="1:18" s="41" customFormat="1" ht="30" customHeight="1">
      <c r="A188" s="16">
        <f t="shared" si="51"/>
        <v>84</v>
      </c>
      <c r="B188" s="17" t="s">
        <v>210</v>
      </c>
      <c r="C188" s="18" t="s">
        <v>21</v>
      </c>
      <c r="D188" s="38">
        <v>5000000</v>
      </c>
      <c r="E188" s="19">
        <v>0.01</v>
      </c>
      <c r="F188" s="19">
        <f t="shared" si="29"/>
        <v>50000</v>
      </c>
      <c r="G188" s="39"/>
      <c r="H188" s="20">
        <f t="shared" si="44"/>
        <v>0</v>
      </c>
      <c r="I188" s="39"/>
      <c r="J188" s="20">
        <f t="shared" si="45"/>
        <v>0</v>
      </c>
      <c r="K188" s="40"/>
      <c r="L188" s="21">
        <f t="shared" si="46"/>
        <v>0</v>
      </c>
      <c r="M188" s="40"/>
      <c r="N188" s="21">
        <f t="shared" si="47"/>
        <v>0</v>
      </c>
      <c r="O188" s="24"/>
      <c r="P188" s="21">
        <f t="shared" si="48"/>
        <v>0</v>
      </c>
      <c r="Q188" s="20">
        <f t="shared" si="49"/>
        <v>5000000</v>
      </c>
      <c r="R188" s="21">
        <f t="shared" si="50"/>
        <v>50000</v>
      </c>
    </row>
    <row r="189" spans="1:18" s="41" customFormat="1" ht="30" customHeight="1">
      <c r="A189" s="16">
        <f t="shared" si="51"/>
        <v>85</v>
      </c>
      <c r="B189" s="17" t="s">
        <v>211</v>
      </c>
      <c r="C189" s="18" t="s">
        <v>21</v>
      </c>
      <c r="D189" s="38">
        <v>2800000</v>
      </c>
      <c r="E189" s="19">
        <v>0.03</v>
      </c>
      <c r="F189" s="19">
        <f t="shared" si="29"/>
        <v>84000</v>
      </c>
      <c r="G189" s="39"/>
      <c r="H189" s="20">
        <f t="shared" si="44"/>
        <v>0</v>
      </c>
      <c r="I189" s="39"/>
      <c r="J189" s="20">
        <f t="shared" si="45"/>
        <v>0</v>
      </c>
      <c r="K189" s="40"/>
      <c r="L189" s="21">
        <f t="shared" si="46"/>
        <v>0</v>
      </c>
      <c r="M189" s="40"/>
      <c r="N189" s="21">
        <f t="shared" si="47"/>
        <v>0</v>
      </c>
      <c r="O189" s="24"/>
      <c r="P189" s="21">
        <f t="shared" si="48"/>
        <v>0</v>
      </c>
      <c r="Q189" s="20">
        <f t="shared" si="49"/>
        <v>2800000</v>
      </c>
      <c r="R189" s="21">
        <f t="shared" si="50"/>
        <v>84000</v>
      </c>
    </row>
    <row r="190" spans="1:18" s="41" customFormat="1" ht="30" customHeight="1">
      <c r="A190" s="16">
        <f t="shared" si="51"/>
        <v>86</v>
      </c>
      <c r="B190" s="17" t="s">
        <v>212</v>
      </c>
      <c r="C190" s="18" t="s">
        <v>21</v>
      </c>
      <c r="D190" s="38">
        <v>6500000</v>
      </c>
      <c r="E190" s="19">
        <v>0.01</v>
      </c>
      <c r="F190" s="19">
        <f t="shared" si="29"/>
        <v>65000</v>
      </c>
      <c r="G190" s="39"/>
      <c r="H190" s="20">
        <f t="shared" si="44"/>
        <v>0</v>
      </c>
      <c r="I190" s="39"/>
      <c r="J190" s="20">
        <f t="shared" si="45"/>
        <v>0</v>
      </c>
      <c r="K190" s="40"/>
      <c r="L190" s="21">
        <f t="shared" si="46"/>
        <v>0</v>
      </c>
      <c r="M190" s="40"/>
      <c r="N190" s="21">
        <f t="shared" si="47"/>
        <v>0</v>
      </c>
      <c r="O190" s="24"/>
      <c r="P190" s="21">
        <f t="shared" si="48"/>
        <v>0</v>
      </c>
      <c r="Q190" s="20">
        <f t="shared" si="49"/>
        <v>6500000</v>
      </c>
      <c r="R190" s="21">
        <f t="shared" si="50"/>
        <v>65000</v>
      </c>
    </row>
    <row r="191" spans="1:18" s="41" customFormat="1" ht="30" customHeight="1">
      <c r="A191" s="16">
        <f t="shared" si="51"/>
        <v>87</v>
      </c>
      <c r="B191" s="17" t="s">
        <v>213</v>
      </c>
      <c r="C191" s="18" t="s">
        <v>253</v>
      </c>
      <c r="D191" s="38">
        <v>300000</v>
      </c>
      <c r="E191" s="19">
        <v>0.1</v>
      </c>
      <c r="F191" s="19">
        <f t="shared" si="29"/>
        <v>30000</v>
      </c>
      <c r="G191" s="39"/>
      <c r="H191" s="20">
        <f t="shared" si="44"/>
        <v>0</v>
      </c>
      <c r="I191" s="39"/>
      <c r="J191" s="20">
        <f t="shared" si="45"/>
        <v>0</v>
      </c>
      <c r="K191" s="40"/>
      <c r="L191" s="21">
        <f t="shared" si="46"/>
        <v>0</v>
      </c>
      <c r="M191" s="40"/>
      <c r="N191" s="21">
        <f t="shared" si="47"/>
        <v>0</v>
      </c>
      <c r="O191" s="24"/>
      <c r="P191" s="21">
        <f t="shared" si="48"/>
        <v>0</v>
      </c>
      <c r="Q191" s="20">
        <f t="shared" si="49"/>
        <v>300000</v>
      </c>
      <c r="R191" s="21">
        <f t="shared" si="50"/>
        <v>30000</v>
      </c>
    </row>
    <row r="192" spans="1:18" s="41" customFormat="1" ht="30" customHeight="1">
      <c r="A192" s="16">
        <f t="shared" si="51"/>
        <v>88</v>
      </c>
      <c r="B192" s="17" t="s">
        <v>214</v>
      </c>
      <c r="C192" s="18" t="s">
        <v>253</v>
      </c>
      <c r="D192" s="38">
        <v>300000</v>
      </c>
      <c r="E192" s="19">
        <v>0.1</v>
      </c>
      <c r="F192" s="19">
        <f t="shared" si="29"/>
        <v>30000</v>
      </c>
      <c r="G192" s="39"/>
      <c r="H192" s="20">
        <f t="shared" si="44"/>
        <v>0</v>
      </c>
      <c r="I192" s="39"/>
      <c r="J192" s="20">
        <f t="shared" si="45"/>
        <v>0</v>
      </c>
      <c r="K192" s="40"/>
      <c r="L192" s="21">
        <f t="shared" si="46"/>
        <v>0</v>
      </c>
      <c r="M192" s="40"/>
      <c r="N192" s="21">
        <f t="shared" si="47"/>
        <v>0</v>
      </c>
      <c r="O192" s="24"/>
      <c r="P192" s="21">
        <f t="shared" si="48"/>
        <v>0</v>
      </c>
      <c r="Q192" s="20">
        <f t="shared" si="49"/>
        <v>300000</v>
      </c>
      <c r="R192" s="21">
        <f t="shared" si="50"/>
        <v>30000</v>
      </c>
    </row>
    <row r="193" spans="1:18" s="41" customFormat="1" ht="30" customHeight="1">
      <c r="A193" s="16">
        <f t="shared" si="51"/>
        <v>89</v>
      </c>
      <c r="B193" s="17" t="s">
        <v>215</v>
      </c>
      <c r="C193" s="18" t="s">
        <v>253</v>
      </c>
      <c r="D193" s="38">
        <v>300000</v>
      </c>
      <c r="E193" s="19">
        <v>0.1</v>
      </c>
      <c r="F193" s="19">
        <f t="shared" si="29"/>
        <v>30000</v>
      </c>
      <c r="G193" s="39"/>
      <c r="H193" s="20">
        <f t="shared" si="44"/>
        <v>0</v>
      </c>
      <c r="I193" s="39"/>
      <c r="J193" s="20">
        <f t="shared" si="45"/>
        <v>0</v>
      </c>
      <c r="K193" s="40"/>
      <c r="L193" s="21">
        <f t="shared" si="46"/>
        <v>0</v>
      </c>
      <c r="M193" s="40"/>
      <c r="N193" s="21">
        <f t="shared" si="47"/>
        <v>0</v>
      </c>
      <c r="O193" s="24"/>
      <c r="P193" s="21">
        <f t="shared" si="48"/>
        <v>0</v>
      </c>
      <c r="Q193" s="20">
        <f t="shared" si="49"/>
        <v>300000</v>
      </c>
      <c r="R193" s="21">
        <f t="shared" si="50"/>
        <v>30000</v>
      </c>
    </row>
    <row r="194" spans="1:18" s="41" customFormat="1" ht="30" customHeight="1">
      <c r="A194" s="16">
        <f t="shared" si="51"/>
        <v>90</v>
      </c>
      <c r="B194" s="17" t="s">
        <v>216</v>
      </c>
      <c r="C194" s="18" t="s">
        <v>253</v>
      </c>
      <c r="D194" s="38">
        <v>300000</v>
      </c>
      <c r="E194" s="19">
        <v>0.1</v>
      </c>
      <c r="F194" s="19">
        <f t="shared" si="29"/>
        <v>30000</v>
      </c>
      <c r="G194" s="39"/>
      <c r="H194" s="20">
        <f t="shared" si="44"/>
        <v>0</v>
      </c>
      <c r="I194" s="39"/>
      <c r="J194" s="20">
        <f t="shared" si="45"/>
        <v>0</v>
      </c>
      <c r="K194" s="40"/>
      <c r="L194" s="21">
        <f t="shared" si="46"/>
        <v>0</v>
      </c>
      <c r="M194" s="40"/>
      <c r="N194" s="21">
        <f t="shared" si="47"/>
        <v>0</v>
      </c>
      <c r="O194" s="24"/>
      <c r="P194" s="21">
        <f t="shared" si="48"/>
        <v>0</v>
      </c>
      <c r="Q194" s="20">
        <f t="shared" si="49"/>
        <v>300000</v>
      </c>
      <c r="R194" s="21">
        <f t="shared" si="50"/>
        <v>30000</v>
      </c>
    </row>
    <row r="195" spans="1:18" s="41" customFormat="1" ht="30" customHeight="1">
      <c r="A195" s="16">
        <f t="shared" si="51"/>
        <v>91</v>
      </c>
      <c r="B195" s="17" t="s">
        <v>217</v>
      </c>
      <c r="C195" s="18" t="s">
        <v>253</v>
      </c>
      <c r="D195" s="38">
        <v>300000</v>
      </c>
      <c r="E195" s="19">
        <v>0.15</v>
      </c>
      <c r="F195" s="19">
        <f t="shared" si="29"/>
        <v>45000</v>
      </c>
      <c r="G195" s="39"/>
      <c r="H195" s="20">
        <f t="shared" si="44"/>
        <v>0</v>
      </c>
      <c r="I195" s="39"/>
      <c r="J195" s="20">
        <f t="shared" si="45"/>
        <v>0</v>
      </c>
      <c r="K195" s="40"/>
      <c r="L195" s="21">
        <f t="shared" si="46"/>
        <v>0</v>
      </c>
      <c r="M195" s="40"/>
      <c r="N195" s="21">
        <f t="shared" si="47"/>
        <v>0</v>
      </c>
      <c r="O195" s="24"/>
      <c r="P195" s="21">
        <f t="shared" si="48"/>
        <v>0</v>
      </c>
      <c r="Q195" s="20">
        <f t="shared" si="49"/>
        <v>300000</v>
      </c>
      <c r="R195" s="21">
        <f t="shared" si="50"/>
        <v>45000</v>
      </c>
    </row>
    <row r="196" spans="1:18" s="41" customFormat="1" ht="30" customHeight="1">
      <c r="A196" s="16">
        <f t="shared" si="51"/>
        <v>92</v>
      </c>
      <c r="B196" s="17" t="s">
        <v>218</v>
      </c>
      <c r="C196" s="18" t="s">
        <v>253</v>
      </c>
      <c r="D196" s="38">
        <v>100000</v>
      </c>
      <c r="E196" s="19">
        <v>0.15</v>
      </c>
      <c r="F196" s="19">
        <f t="shared" si="29"/>
        <v>15000</v>
      </c>
      <c r="G196" s="39"/>
      <c r="H196" s="20">
        <f t="shared" si="44"/>
        <v>0</v>
      </c>
      <c r="I196" s="39"/>
      <c r="J196" s="20">
        <f t="shared" si="45"/>
        <v>0</v>
      </c>
      <c r="K196" s="40"/>
      <c r="L196" s="21">
        <f t="shared" si="46"/>
        <v>0</v>
      </c>
      <c r="M196" s="40"/>
      <c r="N196" s="21">
        <f t="shared" si="47"/>
        <v>0</v>
      </c>
      <c r="O196" s="24"/>
      <c r="P196" s="21">
        <f t="shared" si="48"/>
        <v>0</v>
      </c>
      <c r="Q196" s="20">
        <f t="shared" si="49"/>
        <v>100000</v>
      </c>
      <c r="R196" s="21">
        <f t="shared" si="50"/>
        <v>15000</v>
      </c>
    </row>
    <row r="197" spans="1:18" s="41" customFormat="1" ht="30" customHeight="1">
      <c r="A197" s="16">
        <f t="shared" si="51"/>
        <v>93</v>
      </c>
      <c r="B197" s="17" t="s">
        <v>219</v>
      </c>
      <c r="C197" s="18" t="s">
        <v>254</v>
      </c>
      <c r="D197" s="38">
        <v>200000</v>
      </c>
      <c r="E197" s="19">
        <v>4</v>
      </c>
      <c r="F197" s="19">
        <f t="shared" si="29"/>
        <v>800000</v>
      </c>
      <c r="G197" s="39"/>
      <c r="H197" s="20">
        <f t="shared" si="44"/>
        <v>0</v>
      </c>
      <c r="I197" s="39"/>
      <c r="J197" s="20">
        <f t="shared" si="45"/>
        <v>0</v>
      </c>
      <c r="K197" s="40"/>
      <c r="L197" s="21">
        <f t="shared" si="46"/>
        <v>0</v>
      </c>
      <c r="M197" s="40"/>
      <c r="N197" s="21">
        <f t="shared" si="47"/>
        <v>0</v>
      </c>
      <c r="O197" s="24"/>
      <c r="P197" s="21">
        <f t="shared" si="48"/>
        <v>0</v>
      </c>
      <c r="Q197" s="20">
        <f t="shared" si="49"/>
        <v>200000</v>
      </c>
      <c r="R197" s="21">
        <f t="shared" si="50"/>
        <v>800000</v>
      </c>
    </row>
    <row r="198" spans="1:18" s="41" customFormat="1" ht="30" customHeight="1">
      <c r="A198" s="16">
        <f t="shared" si="51"/>
        <v>94</v>
      </c>
      <c r="B198" s="17" t="s">
        <v>220</v>
      </c>
      <c r="C198" s="18" t="s">
        <v>253</v>
      </c>
      <c r="D198" s="38">
        <v>1200000</v>
      </c>
      <c r="E198" s="19">
        <v>0.2</v>
      </c>
      <c r="F198" s="19">
        <f t="shared" si="29"/>
        <v>240000</v>
      </c>
      <c r="G198" s="39"/>
      <c r="H198" s="20">
        <f t="shared" ref="H198:H217" si="52">G198*E198</f>
        <v>0</v>
      </c>
      <c r="I198" s="39"/>
      <c r="J198" s="20">
        <f t="shared" ref="J198:J217" si="53">I198*E198</f>
        <v>0</v>
      </c>
      <c r="K198" s="40"/>
      <c r="L198" s="21">
        <f t="shared" ref="L198:L217" si="54">K198*E198</f>
        <v>0</v>
      </c>
      <c r="M198" s="40"/>
      <c r="N198" s="21">
        <f t="shared" ref="N198:N217" si="55">M198*E198</f>
        <v>0</v>
      </c>
      <c r="O198" s="24"/>
      <c r="P198" s="21">
        <f t="shared" ref="P198:P217" si="56">O198*E198</f>
        <v>0</v>
      </c>
      <c r="Q198" s="20">
        <f t="shared" ref="Q198:Q217" si="57">D198-G198-I198-K198-M198-O198</f>
        <v>1200000</v>
      </c>
      <c r="R198" s="21">
        <f t="shared" ref="R198:R217" si="58">Q198*E198</f>
        <v>240000</v>
      </c>
    </row>
    <row r="199" spans="1:18" s="41" customFormat="1" ht="30" customHeight="1">
      <c r="A199" s="16">
        <f t="shared" si="51"/>
        <v>95</v>
      </c>
      <c r="B199" s="17" t="s">
        <v>221</v>
      </c>
      <c r="C199" s="18" t="s">
        <v>254</v>
      </c>
      <c r="D199" s="38">
        <v>200000</v>
      </c>
      <c r="E199" s="19">
        <v>1.2</v>
      </c>
      <c r="F199" s="19">
        <f t="shared" si="29"/>
        <v>240000</v>
      </c>
      <c r="G199" s="39"/>
      <c r="H199" s="20">
        <f t="shared" si="52"/>
        <v>0</v>
      </c>
      <c r="I199" s="39"/>
      <c r="J199" s="20">
        <f t="shared" si="53"/>
        <v>0</v>
      </c>
      <c r="K199" s="40"/>
      <c r="L199" s="21">
        <f t="shared" si="54"/>
        <v>0</v>
      </c>
      <c r="M199" s="40"/>
      <c r="N199" s="21">
        <f t="shared" si="55"/>
        <v>0</v>
      </c>
      <c r="O199" s="24"/>
      <c r="P199" s="21">
        <f t="shared" si="56"/>
        <v>0</v>
      </c>
      <c r="Q199" s="20">
        <f t="shared" si="57"/>
        <v>200000</v>
      </c>
      <c r="R199" s="21">
        <f t="shared" si="58"/>
        <v>240000</v>
      </c>
    </row>
    <row r="200" spans="1:18" s="41" customFormat="1" ht="30" customHeight="1">
      <c r="A200" s="16">
        <f t="shared" si="51"/>
        <v>96</v>
      </c>
      <c r="B200" s="17" t="s">
        <v>222</v>
      </c>
      <c r="C200" s="18" t="s">
        <v>254</v>
      </c>
      <c r="D200" s="38">
        <v>50000</v>
      </c>
      <c r="E200" s="19">
        <v>1.8</v>
      </c>
      <c r="F200" s="19">
        <f t="shared" si="29"/>
        <v>90000</v>
      </c>
      <c r="G200" s="39"/>
      <c r="H200" s="20">
        <f t="shared" si="52"/>
        <v>0</v>
      </c>
      <c r="I200" s="39"/>
      <c r="J200" s="20">
        <f t="shared" si="53"/>
        <v>0</v>
      </c>
      <c r="K200" s="40"/>
      <c r="L200" s="21">
        <f t="shared" si="54"/>
        <v>0</v>
      </c>
      <c r="M200" s="40"/>
      <c r="N200" s="21">
        <f t="shared" si="55"/>
        <v>0</v>
      </c>
      <c r="O200" s="24"/>
      <c r="P200" s="21">
        <f t="shared" si="56"/>
        <v>0</v>
      </c>
      <c r="Q200" s="20">
        <f t="shared" si="57"/>
        <v>50000</v>
      </c>
      <c r="R200" s="21">
        <f t="shared" si="58"/>
        <v>90000</v>
      </c>
    </row>
    <row r="201" spans="1:18" s="41" customFormat="1" ht="30" customHeight="1">
      <c r="A201" s="16">
        <f t="shared" si="51"/>
        <v>97</v>
      </c>
      <c r="B201" s="17" t="s">
        <v>223</v>
      </c>
      <c r="C201" s="18" t="s">
        <v>253</v>
      </c>
      <c r="D201" s="38">
        <v>300000</v>
      </c>
      <c r="E201" s="19">
        <v>0.1</v>
      </c>
      <c r="F201" s="19">
        <f t="shared" si="29"/>
        <v>30000</v>
      </c>
      <c r="G201" s="39"/>
      <c r="H201" s="20">
        <f t="shared" si="52"/>
        <v>0</v>
      </c>
      <c r="I201" s="39"/>
      <c r="J201" s="20">
        <f t="shared" si="53"/>
        <v>0</v>
      </c>
      <c r="K201" s="40"/>
      <c r="L201" s="21">
        <f t="shared" si="54"/>
        <v>0</v>
      </c>
      <c r="M201" s="40"/>
      <c r="N201" s="21">
        <f t="shared" si="55"/>
        <v>0</v>
      </c>
      <c r="O201" s="24"/>
      <c r="P201" s="21">
        <f t="shared" si="56"/>
        <v>0</v>
      </c>
      <c r="Q201" s="20">
        <f t="shared" si="57"/>
        <v>300000</v>
      </c>
      <c r="R201" s="21">
        <f t="shared" si="58"/>
        <v>30000</v>
      </c>
    </row>
    <row r="202" spans="1:18" s="41" customFormat="1" ht="30" customHeight="1">
      <c r="A202" s="16">
        <f t="shared" si="51"/>
        <v>98</v>
      </c>
      <c r="B202" s="17" t="s">
        <v>224</v>
      </c>
      <c r="C202" s="18" t="s">
        <v>253</v>
      </c>
      <c r="D202" s="38">
        <v>300000</v>
      </c>
      <c r="E202" s="19">
        <v>0.1</v>
      </c>
      <c r="F202" s="19">
        <f t="shared" si="29"/>
        <v>30000</v>
      </c>
      <c r="G202" s="39"/>
      <c r="H202" s="20">
        <f t="shared" si="52"/>
        <v>0</v>
      </c>
      <c r="I202" s="39"/>
      <c r="J202" s="20">
        <f t="shared" si="53"/>
        <v>0</v>
      </c>
      <c r="K202" s="40"/>
      <c r="L202" s="21">
        <f t="shared" si="54"/>
        <v>0</v>
      </c>
      <c r="M202" s="40"/>
      <c r="N202" s="21">
        <f t="shared" si="55"/>
        <v>0</v>
      </c>
      <c r="O202" s="24"/>
      <c r="P202" s="21">
        <f t="shared" si="56"/>
        <v>0</v>
      </c>
      <c r="Q202" s="20">
        <f t="shared" si="57"/>
        <v>300000</v>
      </c>
      <c r="R202" s="21">
        <f t="shared" si="58"/>
        <v>30000</v>
      </c>
    </row>
    <row r="203" spans="1:18" s="41" customFormat="1" ht="30" customHeight="1">
      <c r="A203" s="16">
        <f t="shared" si="51"/>
        <v>99</v>
      </c>
      <c r="B203" s="17" t="s">
        <v>225</v>
      </c>
      <c r="C203" s="18" t="s">
        <v>253</v>
      </c>
      <c r="D203" s="38">
        <v>300000</v>
      </c>
      <c r="E203" s="19">
        <v>0.1</v>
      </c>
      <c r="F203" s="19">
        <f t="shared" si="29"/>
        <v>30000</v>
      </c>
      <c r="G203" s="39"/>
      <c r="H203" s="20">
        <f t="shared" si="52"/>
        <v>0</v>
      </c>
      <c r="I203" s="39"/>
      <c r="J203" s="20">
        <f t="shared" si="53"/>
        <v>0</v>
      </c>
      <c r="K203" s="40"/>
      <c r="L203" s="21">
        <f t="shared" si="54"/>
        <v>0</v>
      </c>
      <c r="M203" s="40"/>
      <c r="N203" s="21">
        <f t="shared" si="55"/>
        <v>0</v>
      </c>
      <c r="O203" s="24"/>
      <c r="P203" s="21">
        <f t="shared" si="56"/>
        <v>0</v>
      </c>
      <c r="Q203" s="20">
        <f t="shared" si="57"/>
        <v>300000</v>
      </c>
      <c r="R203" s="21">
        <f t="shared" si="58"/>
        <v>30000</v>
      </c>
    </row>
    <row r="204" spans="1:18" s="41" customFormat="1" ht="30" customHeight="1">
      <c r="A204" s="16">
        <f t="shared" si="51"/>
        <v>100</v>
      </c>
      <c r="B204" s="17" t="s">
        <v>226</v>
      </c>
      <c r="C204" s="18" t="s">
        <v>253</v>
      </c>
      <c r="D204" s="38">
        <v>300000</v>
      </c>
      <c r="E204" s="19">
        <v>0.1</v>
      </c>
      <c r="F204" s="19">
        <f t="shared" si="29"/>
        <v>30000</v>
      </c>
      <c r="G204" s="39"/>
      <c r="H204" s="20">
        <f t="shared" si="52"/>
        <v>0</v>
      </c>
      <c r="I204" s="39"/>
      <c r="J204" s="20">
        <f t="shared" si="53"/>
        <v>0</v>
      </c>
      <c r="K204" s="40"/>
      <c r="L204" s="21">
        <f t="shared" si="54"/>
        <v>0</v>
      </c>
      <c r="M204" s="40"/>
      <c r="N204" s="21">
        <f t="shared" si="55"/>
        <v>0</v>
      </c>
      <c r="O204" s="24"/>
      <c r="P204" s="21">
        <f t="shared" si="56"/>
        <v>0</v>
      </c>
      <c r="Q204" s="20">
        <f t="shared" si="57"/>
        <v>300000</v>
      </c>
      <c r="R204" s="21">
        <f t="shared" si="58"/>
        <v>30000</v>
      </c>
    </row>
    <row r="205" spans="1:18" s="41" customFormat="1" ht="30" customHeight="1">
      <c r="A205" s="16">
        <f t="shared" si="51"/>
        <v>101</v>
      </c>
      <c r="B205" s="17" t="s">
        <v>227</v>
      </c>
      <c r="C205" s="18" t="s">
        <v>253</v>
      </c>
      <c r="D205" s="38">
        <v>300000</v>
      </c>
      <c r="E205" s="19">
        <v>0.2</v>
      </c>
      <c r="F205" s="19">
        <f t="shared" si="29"/>
        <v>60000</v>
      </c>
      <c r="G205" s="39"/>
      <c r="H205" s="20">
        <f t="shared" si="52"/>
        <v>0</v>
      </c>
      <c r="I205" s="39"/>
      <c r="J205" s="20">
        <f t="shared" si="53"/>
        <v>0</v>
      </c>
      <c r="K205" s="40"/>
      <c r="L205" s="21">
        <f t="shared" si="54"/>
        <v>0</v>
      </c>
      <c r="M205" s="40"/>
      <c r="N205" s="21">
        <f t="shared" si="55"/>
        <v>0</v>
      </c>
      <c r="O205" s="24"/>
      <c r="P205" s="21">
        <f t="shared" si="56"/>
        <v>0</v>
      </c>
      <c r="Q205" s="20">
        <f t="shared" si="57"/>
        <v>300000</v>
      </c>
      <c r="R205" s="21">
        <f t="shared" si="58"/>
        <v>60000</v>
      </c>
    </row>
    <row r="206" spans="1:18" s="41" customFormat="1" ht="30" customHeight="1">
      <c r="A206" s="16">
        <f t="shared" si="51"/>
        <v>102</v>
      </c>
      <c r="B206" s="17" t="s">
        <v>228</v>
      </c>
      <c r="C206" s="18" t="s">
        <v>253</v>
      </c>
      <c r="D206" s="38">
        <v>300000</v>
      </c>
      <c r="E206" s="19">
        <v>1</v>
      </c>
      <c r="F206" s="19">
        <f t="shared" si="29"/>
        <v>300000</v>
      </c>
      <c r="G206" s="39"/>
      <c r="H206" s="20">
        <f t="shared" si="52"/>
        <v>0</v>
      </c>
      <c r="I206" s="39"/>
      <c r="J206" s="20">
        <f t="shared" si="53"/>
        <v>0</v>
      </c>
      <c r="K206" s="40"/>
      <c r="L206" s="21">
        <f t="shared" si="54"/>
        <v>0</v>
      </c>
      <c r="M206" s="40"/>
      <c r="N206" s="21">
        <f t="shared" si="55"/>
        <v>0</v>
      </c>
      <c r="O206" s="24"/>
      <c r="P206" s="21">
        <f t="shared" si="56"/>
        <v>0</v>
      </c>
      <c r="Q206" s="20">
        <f t="shared" si="57"/>
        <v>300000</v>
      </c>
      <c r="R206" s="21">
        <f t="shared" si="58"/>
        <v>300000</v>
      </c>
    </row>
    <row r="207" spans="1:18" s="41" customFormat="1" ht="30" customHeight="1">
      <c r="A207" s="16">
        <f t="shared" si="51"/>
        <v>103</v>
      </c>
      <c r="B207" s="17" t="s">
        <v>229</v>
      </c>
      <c r="C207" s="18" t="s">
        <v>253</v>
      </c>
      <c r="D207" s="38">
        <v>300000</v>
      </c>
      <c r="E207" s="19">
        <v>0.15</v>
      </c>
      <c r="F207" s="19">
        <f t="shared" si="29"/>
        <v>45000</v>
      </c>
      <c r="G207" s="39"/>
      <c r="H207" s="20">
        <f t="shared" si="52"/>
        <v>0</v>
      </c>
      <c r="I207" s="39"/>
      <c r="J207" s="20">
        <f t="shared" si="53"/>
        <v>0</v>
      </c>
      <c r="K207" s="40"/>
      <c r="L207" s="21">
        <f t="shared" si="54"/>
        <v>0</v>
      </c>
      <c r="M207" s="40"/>
      <c r="N207" s="21">
        <f t="shared" si="55"/>
        <v>0</v>
      </c>
      <c r="O207" s="24"/>
      <c r="P207" s="21">
        <f t="shared" si="56"/>
        <v>0</v>
      </c>
      <c r="Q207" s="20">
        <f t="shared" si="57"/>
        <v>300000</v>
      </c>
      <c r="R207" s="21">
        <f t="shared" si="58"/>
        <v>45000</v>
      </c>
    </row>
    <row r="208" spans="1:18" s="41" customFormat="1" ht="30" customHeight="1">
      <c r="A208" s="16">
        <f t="shared" si="51"/>
        <v>104</v>
      </c>
      <c r="B208" s="17" t="s">
        <v>230</v>
      </c>
      <c r="C208" s="18" t="s">
        <v>253</v>
      </c>
      <c r="D208" s="38">
        <v>300000</v>
      </c>
      <c r="E208" s="19">
        <v>0.5</v>
      </c>
      <c r="F208" s="19">
        <f t="shared" si="29"/>
        <v>150000</v>
      </c>
      <c r="G208" s="39"/>
      <c r="H208" s="20">
        <f t="shared" si="52"/>
        <v>0</v>
      </c>
      <c r="I208" s="39"/>
      <c r="J208" s="20">
        <f t="shared" si="53"/>
        <v>0</v>
      </c>
      <c r="K208" s="40"/>
      <c r="L208" s="21">
        <f t="shared" si="54"/>
        <v>0</v>
      </c>
      <c r="M208" s="40"/>
      <c r="N208" s="21">
        <f t="shared" si="55"/>
        <v>0</v>
      </c>
      <c r="O208" s="24"/>
      <c r="P208" s="21">
        <f t="shared" si="56"/>
        <v>0</v>
      </c>
      <c r="Q208" s="20">
        <f t="shared" si="57"/>
        <v>300000</v>
      </c>
      <c r="R208" s="21">
        <f t="shared" si="58"/>
        <v>150000</v>
      </c>
    </row>
    <row r="209" spans="1:18" s="41" customFormat="1" ht="30" customHeight="1">
      <c r="A209" s="16">
        <f t="shared" si="51"/>
        <v>105</v>
      </c>
      <c r="B209" s="17" t="s">
        <v>231</v>
      </c>
      <c r="C209" s="18" t="s">
        <v>253</v>
      </c>
      <c r="D209" s="38">
        <v>300000</v>
      </c>
      <c r="E209" s="19">
        <v>0.5</v>
      </c>
      <c r="F209" s="19">
        <f t="shared" si="29"/>
        <v>150000</v>
      </c>
      <c r="G209" s="39"/>
      <c r="H209" s="20">
        <f t="shared" si="52"/>
        <v>0</v>
      </c>
      <c r="I209" s="39"/>
      <c r="J209" s="20">
        <f t="shared" si="53"/>
        <v>0</v>
      </c>
      <c r="K209" s="40"/>
      <c r="L209" s="21">
        <f t="shared" si="54"/>
        <v>0</v>
      </c>
      <c r="M209" s="40"/>
      <c r="N209" s="21">
        <f t="shared" si="55"/>
        <v>0</v>
      </c>
      <c r="O209" s="24"/>
      <c r="P209" s="21">
        <f t="shared" si="56"/>
        <v>0</v>
      </c>
      <c r="Q209" s="20">
        <f t="shared" si="57"/>
        <v>300000</v>
      </c>
      <c r="R209" s="21">
        <f t="shared" si="58"/>
        <v>150000</v>
      </c>
    </row>
    <row r="210" spans="1:18" s="41" customFormat="1" ht="30" customHeight="1">
      <c r="A210" s="16">
        <f t="shared" si="51"/>
        <v>106</v>
      </c>
      <c r="B210" s="17" t="s">
        <v>232</v>
      </c>
      <c r="C210" s="18" t="s">
        <v>253</v>
      </c>
      <c r="D210" s="38">
        <v>50000</v>
      </c>
      <c r="E210" s="19">
        <v>1</v>
      </c>
      <c r="F210" s="19">
        <f t="shared" si="29"/>
        <v>50000</v>
      </c>
      <c r="G210" s="39"/>
      <c r="H210" s="20">
        <f t="shared" si="52"/>
        <v>0</v>
      </c>
      <c r="I210" s="39"/>
      <c r="J210" s="20">
        <f t="shared" si="53"/>
        <v>0</v>
      </c>
      <c r="K210" s="40"/>
      <c r="L210" s="21">
        <f t="shared" si="54"/>
        <v>0</v>
      </c>
      <c r="M210" s="40"/>
      <c r="N210" s="21">
        <f t="shared" si="55"/>
        <v>0</v>
      </c>
      <c r="O210" s="24"/>
      <c r="P210" s="21">
        <f t="shared" si="56"/>
        <v>0</v>
      </c>
      <c r="Q210" s="20">
        <f t="shared" si="57"/>
        <v>50000</v>
      </c>
      <c r="R210" s="21">
        <f t="shared" si="58"/>
        <v>50000</v>
      </c>
    </row>
    <row r="211" spans="1:18" s="41" customFormat="1" ht="30" customHeight="1">
      <c r="A211" s="16">
        <f t="shared" si="51"/>
        <v>107</v>
      </c>
      <c r="B211" s="17" t="s">
        <v>233</v>
      </c>
      <c r="C211" s="18" t="s">
        <v>253</v>
      </c>
      <c r="D211" s="38">
        <v>50000</v>
      </c>
      <c r="E211" s="19">
        <v>0.24</v>
      </c>
      <c r="F211" s="19">
        <f t="shared" si="29"/>
        <v>12000</v>
      </c>
      <c r="G211" s="39"/>
      <c r="H211" s="20">
        <f t="shared" si="52"/>
        <v>0</v>
      </c>
      <c r="I211" s="39"/>
      <c r="J211" s="20">
        <f t="shared" si="53"/>
        <v>0</v>
      </c>
      <c r="K211" s="40"/>
      <c r="L211" s="21">
        <f t="shared" si="54"/>
        <v>0</v>
      </c>
      <c r="M211" s="40"/>
      <c r="N211" s="21">
        <f t="shared" si="55"/>
        <v>0</v>
      </c>
      <c r="O211" s="24"/>
      <c r="P211" s="21">
        <f t="shared" si="56"/>
        <v>0</v>
      </c>
      <c r="Q211" s="20">
        <f t="shared" si="57"/>
        <v>50000</v>
      </c>
      <c r="R211" s="21">
        <f t="shared" si="58"/>
        <v>12000</v>
      </c>
    </row>
    <row r="212" spans="1:18" s="41" customFormat="1" ht="30" customHeight="1">
      <c r="A212" s="16">
        <f t="shared" si="51"/>
        <v>108</v>
      </c>
      <c r="B212" s="17" t="s">
        <v>234</v>
      </c>
      <c r="C212" s="18" t="s">
        <v>253</v>
      </c>
      <c r="D212" s="38">
        <v>300000</v>
      </c>
      <c r="E212" s="19">
        <v>0.1</v>
      </c>
      <c r="F212" s="19">
        <f t="shared" si="29"/>
        <v>30000</v>
      </c>
      <c r="G212" s="39"/>
      <c r="H212" s="20">
        <f t="shared" si="52"/>
        <v>0</v>
      </c>
      <c r="I212" s="39"/>
      <c r="J212" s="20">
        <f t="shared" si="53"/>
        <v>0</v>
      </c>
      <c r="K212" s="40"/>
      <c r="L212" s="21">
        <f t="shared" si="54"/>
        <v>0</v>
      </c>
      <c r="M212" s="40"/>
      <c r="N212" s="21">
        <f t="shared" si="55"/>
        <v>0</v>
      </c>
      <c r="O212" s="24"/>
      <c r="P212" s="21">
        <f t="shared" si="56"/>
        <v>0</v>
      </c>
      <c r="Q212" s="20">
        <f t="shared" si="57"/>
        <v>300000</v>
      </c>
      <c r="R212" s="21">
        <f t="shared" si="58"/>
        <v>30000</v>
      </c>
    </row>
    <row r="213" spans="1:18" s="41" customFormat="1" ht="30" customHeight="1">
      <c r="A213" s="16">
        <f t="shared" si="51"/>
        <v>109</v>
      </c>
      <c r="B213" s="17" t="s">
        <v>235</v>
      </c>
      <c r="C213" s="18" t="s">
        <v>259</v>
      </c>
      <c r="D213" s="38">
        <v>250000</v>
      </c>
      <c r="E213" s="19">
        <v>0.5</v>
      </c>
      <c r="F213" s="19">
        <f t="shared" si="29"/>
        <v>125000</v>
      </c>
      <c r="G213" s="39"/>
      <c r="H213" s="20">
        <f t="shared" si="52"/>
        <v>0</v>
      </c>
      <c r="I213" s="39"/>
      <c r="J213" s="20">
        <f t="shared" si="53"/>
        <v>0</v>
      </c>
      <c r="K213" s="40"/>
      <c r="L213" s="21">
        <f t="shared" si="54"/>
        <v>0</v>
      </c>
      <c r="M213" s="40"/>
      <c r="N213" s="21">
        <f t="shared" si="55"/>
        <v>0</v>
      </c>
      <c r="O213" s="24"/>
      <c r="P213" s="21">
        <f t="shared" si="56"/>
        <v>0</v>
      </c>
      <c r="Q213" s="20">
        <f t="shared" si="57"/>
        <v>250000</v>
      </c>
      <c r="R213" s="21">
        <f t="shared" si="58"/>
        <v>125000</v>
      </c>
    </row>
    <row r="214" spans="1:18" s="41" customFormat="1" ht="30" customHeight="1">
      <c r="A214" s="16">
        <f t="shared" si="51"/>
        <v>110</v>
      </c>
      <c r="B214" s="17" t="s">
        <v>236</v>
      </c>
      <c r="C214" s="18" t="s">
        <v>256</v>
      </c>
      <c r="D214" s="38">
        <v>15000</v>
      </c>
      <c r="E214" s="19">
        <v>0.35</v>
      </c>
      <c r="F214" s="19">
        <f t="shared" si="29"/>
        <v>5250</v>
      </c>
      <c r="G214" s="39"/>
      <c r="H214" s="20">
        <f t="shared" si="52"/>
        <v>0</v>
      </c>
      <c r="I214" s="39"/>
      <c r="J214" s="20">
        <f t="shared" si="53"/>
        <v>0</v>
      </c>
      <c r="K214" s="40"/>
      <c r="L214" s="21">
        <f t="shared" si="54"/>
        <v>0</v>
      </c>
      <c r="M214" s="40"/>
      <c r="N214" s="21">
        <f t="shared" si="55"/>
        <v>0</v>
      </c>
      <c r="O214" s="24"/>
      <c r="P214" s="21">
        <f t="shared" si="56"/>
        <v>0</v>
      </c>
      <c r="Q214" s="20">
        <f t="shared" si="57"/>
        <v>15000</v>
      </c>
      <c r="R214" s="21">
        <f t="shared" si="58"/>
        <v>5250</v>
      </c>
    </row>
    <row r="215" spans="1:18" s="41" customFormat="1" ht="30" customHeight="1">
      <c r="A215" s="16">
        <f t="shared" si="51"/>
        <v>111</v>
      </c>
      <c r="B215" s="17" t="s">
        <v>237</v>
      </c>
      <c r="C215" s="18" t="s">
        <v>253</v>
      </c>
      <c r="D215" s="38">
        <v>20000</v>
      </c>
      <c r="E215" s="19">
        <v>10</v>
      </c>
      <c r="F215" s="19">
        <f t="shared" si="29"/>
        <v>200000</v>
      </c>
      <c r="G215" s="39"/>
      <c r="H215" s="20">
        <f t="shared" si="52"/>
        <v>0</v>
      </c>
      <c r="I215" s="39"/>
      <c r="J215" s="20">
        <f t="shared" si="53"/>
        <v>0</v>
      </c>
      <c r="K215" s="40"/>
      <c r="L215" s="21">
        <f t="shared" si="54"/>
        <v>0</v>
      </c>
      <c r="M215" s="40"/>
      <c r="N215" s="21">
        <f t="shared" si="55"/>
        <v>0</v>
      </c>
      <c r="O215" s="24"/>
      <c r="P215" s="21">
        <f t="shared" si="56"/>
        <v>0</v>
      </c>
      <c r="Q215" s="20">
        <f t="shared" si="57"/>
        <v>20000</v>
      </c>
      <c r="R215" s="21">
        <f t="shared" si="58"/>
        <v>200000</v>
      </c>
    </row>
    <row r="216" spans="1:18" s="41" customFormat="1" ht="30" customHeight="1">
      <c r="A216" s="16">
        <f t="shared" si="51"/>
        <v>112</v>
      </c>
      <c r="B216" s="17" t="s">
        <v>238</v>
      </c>
      <c r="C216" s="18" t="s">
        <v>251</v>
      </c>
      <c r="D216" s="38">
        <v>15000</v>
      </c>
      <c r="E216" s="19">
        <v>1.5</v>
      </c>
      <c r="F216" s="19">
        <f t="shared" si="29"/>
        <v>22500</v>
      </c>
      <c r="G216" s="39"/>
      <c r="H216" s="20">
        <f t="shared" si="52"/>
        <v>0</v>
      </c>
      <c r="I216" s="39"/>
      <c r="J216" s="20">
        <f t="shared" si="53"/>
        <v>0</v>
      </c>
      <c r="K216" s="40"/>
      <c r="L216" s="21">
        <f t="shared" si="54"/>
        <v>0</v>
      </c>
      <c r="M216" s="40"/>
      <c r="N216" s="21">
        <f t="shared" si="55"/>
        <v>0</v>
      </c>
      <c r="O216" s="24"/>
      <c r="P216" s="21">
        <f t="shared" si="56"/>
        <v>0</v>
      </c>
      <c r="Q216" s="20">
        <f t="shared" si="57"/>
        <v>15000</v>
      </c>
      <c r="R216" s="21">
        <f t="shared" si="58"/>
        <v>22500</v>
      </c>
    </row>
    <row r="217" spans="1:18" s="41" customFormat="1" ht="30" customHeight="1">
      <c r="A217" s="16">
        <f t="shared" si="51"/>
        <v>113</v>
      </c>
      <c r="B217" s="17" t="s">
        <v>239</v>
      </c>
      <c r="C217" s="18" t="s">
        <v>254</v>
      </c>
      <c r="D217" s="38">
        <v>10000</v>
      </c>
      <c r="E217" s="19">
        <v>2</v>
      </c>
      <c r="F217" s="19">
        <f t="shared" si="29"/>
        <v>20000</v>
      </c>
      <c r="G217" s="39"/>
      <c r="H217" s="20">
        <f t="shared" si="52"/>
        <v>0</v>
      </c>
      <c r="I217" s="39"/>
      <c r="J217" s="20">
        <f t="shared" si="53"/>
        <v>0</v>
      </c>
      <c r="K217" s="40"/>
      <c r="L217" s="21">
        <f t="shared" si="54"/>
        <v>0</v>
      </c>
      <c r="M217" s="40"/>
      <c r="N217" s="21">
        <f t="shared" si="55"/>
        <v>0</v>
      </c>
      <c r="O217" s="24"/>
      <c r="P217" s="21">
        <f t="shared" si="56"/>
        <v>0</v>
      </c>
      <c r="Q217" s="20">
        <f t="shared" si="57"/>
        <v>10000</v>
      </c>
      <c r="R217" s="21">
        <f t="shared" si="58"/>
        <v>20000</v>
      </c>
    </row>
    <row r="218" spans="1:18" s="41" customFormat="1" ht="30" customHeight="1">
      <c r="A218" s="16">
        <f t="shared" si="51"/>
        <v>114</v>
      </c>
      <c r="B218" s="17" t="s">
        <v>240</v>
      </c>
      <c r="C218" s="18" t="s">
        <v>123</v>
      </c>
      <c r="D218" s="38">
        <v>1000000</v>
      </c>
      <c r="E218" s="19">
        <v>0.3</v>
      </c>
      <c r="F218" s="19">
        <f t="shared" si="29"/>
        <v>300000</v>
      </c>
      <c r="G218" s="39"/>
      <c r="H218" s="20">
        <f t="shared" si="38"/>
        <v>0</v>
      </c>
      <c r="I218" s="39"/>
      <c r="J218" s="20">
        <f t="shared" si="39"/>
        <v>0</v>
      </c>
      <c r="K218" s="40"/>
      <c r="L218" s="21">
        <f t="shared" si="40"/>
        <v>0</v>
      </c>
      <c r="M218" s="40"/>
      <c r="N218" s="21">
        <f t="shared" si="41"/>
        <v>0</v>
      </c>
      <c r="O218" s="24"/>
      <c r="P218" s="21">
        <f t="shared" si="34"/>
        <v>0</v>
      </c>
      <c r="Q218" s="20">
        <f t="shared" si="42"/>
        <v>1000000</v>
      </c>
      <c r="R218" s="21">
        <f t="shared" si="43"/>
        <v>300000</v>
      </c>
    </row>
    <row r="219" spans="1:18" s="41" customFormat="1" ht="30" customHeight="1">
      <c r="A219" s="16">
        <f t="shared" si="51"/>
        <v>115</v>
      </c>
      <c r="B219" s="17" t="s">
        <v>241</v>
      </c>
      <c r="C219" s="18" t="s">
        <v>259</v>
      </c>
      <c r="D219" s="38">
        <v>5000000</v>
      </c>
      <c r="E219" s="19">
        <v>0.15</v>
      </c>
      <c r="F219" s="19">
        <f t="shared" si="29"/>
        <v>750000</v>
      </c>
      <c r="G219" s="39"/>
      <c r="H219" s="20">
        <f t="shared" si="38"/>
        <v>0</v>
      </c>
      <c r="I219" s="39"/>
      <c r="J219" s="20">
        <f t="shared" si="39"/>
        <v>0</v>
      </c>
      <c r="K219" s="40"/>
      <c r="L219" s="21">
        <f t="shared" si="40"/>
        <v>0</v>
      </c>
      <c r="M219" s="40"/>
      <c r="N219" s="21">
        <f t="shared" si="41"/>
        <v>0</v>
      </c>
      <c r="O219" s="24"/>
      <c r="P219" s="21">
        <f t="shared" si="34"/>
        <v>0</v>
      </c>
      <c r="Q219" s="20">
        <f t="shared" si="42"/>
        <v>5000000</v>
      </c>
      <c r="R219" s="21">
        <f t="shared" si="43"/>
        <v>750000</v>
      </c>
    </row>
    <row r="220" spans="1:18" s="41" customFormat="1" ht="30" customHeight="1">
      <c r="A220" s="16">
        <f t="shared" si="51"/>
        <v>116</v>
      </c>
      <c r="B220" s="17" t="s">
        <v>242</v>
      </c>
      <c r="C220" s="18" t="s">
        <v>259</v>
      </c>
      <c r="D220" s="38">
        <v>5000000</v>
      </c>
      <c r="E220" s="19">
        <v>0.15</v>
      </c>
      <c r="F220" s="19">
        <f t="shared" si="29"/>
        <v>750000</v>
      </c>
      <c r="G220" s="39"/>
      <c r="H220" s="20">
        <f t="shared" si="30"/>
        <v>0</v>
      </c>
      <c r="I220" s="39"/>
      <c r="J220" s="20">
        <f t="shared" si="31"/>
        <v>0</v>
      </c>
      <c r="K220" s="40"/>
      <c r="L220" s="21">
        <f t="shared" si="32"/>
        <v>0</v>
      </c>
      <c r="M220" s="40"/>
      <c r="N220" s="21">
        <f t="shared" si="33"/>
        <v>0</v>
      </c>
      <c r="O220" s="24"/>
      <c r="P220" s="21">
        <f t="shared" si="34"/>
        <v>0</v>
      </c>
      <c r="Q220" s="20">
        <f t="shared" si="35"/>
        <v>5000000</v>
      </c>
      <c r="R220" s="21">
        <f t="shared" si="36"/>
        <v>750000</v>
      </c>
    </row>
    <row r="221" spans="1:18" s="41" customFormat="1" ht="30" customHeight="1">
      <c r="A221" s="16">
        <f t="shared" si="51"/>
        <v>117</v>
      </c>
      <c r="B221" s="17" t="s">
        <v>243</v>
      </c>
      <c r="C221" s="18" t="s">
        <v>255</v>
      </c>
      <c r="D221" s="38">
        <v>80000</v>
      </c>
      <c r="E221" s="19">
        <v>0.65</v>
      </c>
      <c r="F221" s="19">
        <f t="shared" si="29"/>
        <v>52000</v>
      </c>
      <c r="G221" s="39"/>
      <c r="H221" s="20">
        <f t="shared" si="30"/>
        <v>0</v>
      </c>
      <c r="I221" s="39"/>
      <c r="J221" s="20">
        <f t="shared" si="31"/>
        <v>0</v>
      </c>
      <c r="K221" s="40"/>
      <c r="L221" s="21">
        <f t="shared" si="32"/>
        <v>0</v>
      </c>
      <c r="M221" s="40"/>
      <c r="N221" s="21">
        <f t="shared" si="33"/>
        <v>0</v>
      </c>
      <c r="O221" s="24"/>
      <c r="P221" s="21">
        <f t="shared" si="34"/>
        <v>0</v>
      </c>
      <c r="Q221" s="20">
        <f t="shared" si="35"/>
        <v>80000</v>
      </c>
      <c r="R221" s="21">
        <f t="shared" si="36"/>
        <v>52000</v>
      </c>
    </row>
    <row r="222" spans="1:18" s="41" customFormat="1" ht="30" customHeight="1">
      <c r="A222" s="16">
        <f t="shared" si="51"/>
        <v>118</v>
      </c>
      <c r="B222" s="17" t="s">
        <v>244</v>
      </c>
      <c r="C222" s="18" t="s">
        <v>251</v>
      </c>
      <c r="D222" s="38">
        <v>50000</v>
      </c>
      <c r="E222" s="19">
        <v>2</v>
      </c>
      <c r="F222" s="19">
        <f t="shared" si="29"/>
        <v>100000</v>
      </c>
      <c r="G222" s="39"/>
      <c r="H222" s="20">
        <f t="shared" si="30"/>
        <v>0</v>
      </c>
      <c r="I222" s="39"/>
      <c r="J222" s="20">
        <f t="shared" si="31"/>
        <v>0</v>
      </c>
      <c r="K222" s="40"/>
      <c r="L222" s="21">
        <f t="shared" si="32"/>
        <v>0</v>
      </c>
      <c r="M222" s="40"/>
      <c r="N222" s="21">
        <f t="shared" si="33"/>
        <v>0</v>
      </c>
      <c r="O222" s="24"/>
      <c r="P222" s="21">
        <f t="shared" si="34"/>
        <v>0</v>
      </c>
      <c r="Q222" s="20">
        <f t="shared" si="35"/>
        <v>50000</v>
      </c>
      <c r="R222" s="21">
        <f t="shared" si="36"/>
        <v>100000</v>
      </c>
    </row>
    <row r="223" spans="1:18" s="41" customFormat="1" ht="30" customHeight="1">
      <c r="A223" s="16">
        <f t="shared" si="51"/>
        <v>119</v>
      </c>
      <c r="B223" s="17" t="s">
        <v>245</v>
      </c>
      <c r="C223" s="18" t="s">
        <v>252</v>
      </c>
      <c r="D223" s="38">
        <v>1000000</v>
      </c>
      <c r="E223" s="19">
        <v>0.2</v>
      </c>
      <c r="F223" s="19">
        <f t="shared" si="29"/>
        <v>200000</v>
      </c>
      <c r="G223" s="39"/>
      <c r="H223" s="20">
        <f t="shared" si="30"/>
        <v>0</v>
      </c>
      <c r="I223" s="39"/>
      <c r="J223" s="20">
        <f t="shared" si="31"/>
        <v>0</v>
      </c>
      <c r="K223" s="40"/>
      <c r="L223" s="21">
        <f t="shared" si="32"/>
        <v>0</v>
      </c>
      <c r="M223" s="40"/>
      <c r="N223" s="21">
        <f t="shared" si="33"/>
        <v>0</v>
      </c>
      <c r="O223" s="24"/>
      <c r="P223" s="21">
        <f t="shared" si="34"/>
        <v>0</v>
      </c>
      <c r="Q223" s="20">
        <f t="shared" si="35"/>
        <v>1000000</v>
      </c>
      <c r="R223" s="21">
        <f t="shared" si="36"/>
        <v>200000</v>
      </c>
    </row>
    <row r="224" spans="1:18" s="41" customFormat="1" ht="30" customHeight="1">
      <c r="A224" s="16">
        <f t="shared" si="51"/>
        <v>120</v>
      </c>
      <c r="B224" s="17" t="s">
        <v>246</v>
      </c>
      <c r="C224" s="18" t="s">
        <v>251</v>
      </c>
      <c r="D224" s="38">
        <v>250000</v>
      </c>
      <c r="E224" s="19">
        <v>1.2</v>
      </c>
      <c r="F224" s="19">
        <f t="shared" ref="F224:F227" si="59">E224*D224</f>
        <v>300000</v>
      </c>
      <c r="G224" s="39"/>
      <c r="H224" s="20">
        <f t="shared" ref="H224:H227" si="60">G224*E224</f>
        <v>0</v>
      </c>
      <c r="I224" s="39"/>
      <c r="J224" s="20">
        <f t="shared" ref="J224:J227" si="61">I224*E224</f>
        <v>0</v>
      </c>
      <c r="K224" s="40"/>
      <c r="L224" s="21">
        <f t="shared" ref="L224:L227" si="62">K224*E224</f>
        <v>0</v>
      </c>
      <c r="M224" s="40"/>
      <c r="N224" s="21">
        <f t="shared" ref="N224:N227" si="63">M224*E224</f>
        <v>0</v>
      </c>
      <c r="O224" s="24"/>
      <c r="P224" s="21">
        <f t="shared" si="34"/>
        <v>0</v>
      </c>
      <c r="Q224" s="20">
        <f t="shared" ref="Q224:Q227" si="64">D224-G224-I224-K224-M224-O224</f>
        <v>250000</v>
      </c>
      <c r="R224" s="21">
        <f t="shared" ref="R224:R227" si="65">Q224*E224</f>
        <v>300000</v>
      </c>
    </row>
    <row r="225" spans="1:19" s="41" customFormat="1" ht="30" customHeight="1">
      <c r="A225" s="16">
        <f t="shared" si="51"/>
        <v>121</v>
      </c>
      <c r="B225" s="17" t="s">
        <v>247</v>
      </c>
      <c r="C225" s="18" t="s">
        <v>254</v>
      </c>
      <c r="D225" s="38">
        <v>5000</v>
      </c>
      <c r="E225" s="19">
        <v>1</v>
      </c>
      <c r="F225" s="19">
        <f t="shared" si="59"/>
        <v>5000</v>
      </c>
      <c r="G225" s="39"/>
      <c r="H225" s="20">
        <f t="shared" si="60"/>
        <v>0</v>
      </c>
      <c r="I225" s="39"/>
      <c r="J225" s="20">
        <f t="shared" si="61"/>
        <v>0</v>
      </c>
      <c r="K225" s="40"/>
      <c r="L225" s="21">
        <f t="shared" si="62"/>
        <v>0</v>
      </c>
      <c r="M225" s="40"/>
      <c r="N225" s="21">
        <f t="shared" si="63"/>
        <v>0</v>
      </c>
      <c r="O225" s="24"/>
      <c r="P225" s="21">
        <f t="shared" si="34"/>
        <v>0</v>
      </c>
      <c r="Q225" s="20">
        <f t="shared" si="64"/>
        <v>5000</v>
      </c>
      <c r="R225" s="21">
        <f t="shared" si="65"/>
        <v>5000</v>
      </c>
    </row>
    <row r="226" spans="1:19" s="41" customFormat="1" ht="30" customHeight="1">
      <c r="A226" s="16">
        <f t="shared" si="51"/>
        <v>122</v>
      </c>
      <c r="B226" s="17" t="s">
        <v>248</v>
      </c>
      <c r="C226" s="18" t="s">
        <v>251</v>
      </c>
      <c r="D226" s="38">
        <v>100000</v>
      </c>
      <c r="E226" s="19">
        <v>1.1000000000000001</v>
      </c>
      <c r="F226" s="19">
        <f t="shared" si="59"/>
        <v>110000.00000000001</v>
      </c>
      <c r="G226" s="39"/>
      <c r="H226" s="20">
        <f t="shared" si="60"/>
        <v>0</v>
      </c>
      <c r="I226" s="39"/>
      <c r="J226" s="20">
        <f t="shared" si="61"/>
        <v>0</v>
      </c>
      <c r="K226" s="40"/>
      <c r="L226" s="21">
        <f t="shared" si="62"/>
        <v>0</v>
      </c>
      <c r="M226" s="40"/>
      <c r="N226" s="21">
        <f t="shared" si="63"/>
        <v>0</v>
      </c>
      <c r="O226" s="24"/>
      <c r="P226" s="21">
        <f t="shared" si="34"/>
        <v>0</v>
      </c>
      <c r="Q226" s="20">
        <f t="shared" si="64"/>
        <v>100000</v>
      </c>
      <c r="R226" s="21">
        <f t="shared" si="65"/>
        <v>110000.00000000001</v>
      </c>
    </row>
    <row r="227" spans="1:19" s="41" customFormat="1" ht="30" customHeight="1">
      <c r="A227" s="16">
        <f t="shared" si="51"/>
        <v>123</v>
      </c>
      <c r="B227" s="17" t="s">
        <v>249</v>
      </c>
      <c r="C227" s="18" t="s">
        <v>253</v>
      </c>
      <c r="D227" s="38">
        <v>5000</v>
      </c>
      <c r="E227" s="19">
        <v>2</v>
      </c>
      <c r="F227" s="19">
        <f t="shared" si="59"/>
        <v>10000</v>
      </c>
      <c r="G227" s="39"/>
      <c r="H227" s="20">
        <f t="shared" si="60"/>
        <v>0</v>
      </c>
      <c r="I227" s="39"/>
      <c r="J227" s="20">
        <f t="shared" si="61"/>
        <v>0</v>
      </c>
      <c r="K227" s="40"/>
      <c r="L227" s="21">
        <f t="shared" si="62"/>
        <v>0</v>
      </c>
      <c r="M227" s="40"/>
      <c r="N227" s="21">
        <f t="shared" si="63"/>
        <v>0</v>
      </c>
      <c r="O227" s="24"/>
      <c r="P227" s="21">
        <f t="shared" si="34"/>
        <v>0</v>
      </c>
      <c r="Q227" s="20">
        <f t="shared" si="64"/>
        <v>5000</v>
      </c>
      <c r="R227" s="21">
        <f t="shared" si="65"/>
        <v>10000</v>
      </c>
    </row>
    <row r="228" spans="1:19" s="41" customFormat="1" ht="30" customHeight="1">
      <c r="A228" s="16">
        <f t="shared" si="51"/>
        <v>124</v>
      </c>
      <c r="B228" s="17" t="s">
        <v>250</v>
      </c>
      <c r="C228" s="18" t="s">
        <v>253</v>
      </c>
      <c r="D228" s="38">
        <v>10000</v>
      </c>
      <c r="E228" s="19">
        <v>1.5</v>
      </c>
      <c r="F228" s="19">
        <f t="shared" ref="F228" si="66">E228*D228</f>
        <v>15000</v>
      </c>
      <c r="G228" s="39"/>
      <c r="H228" s="20">
        <f t="shared" ref="H228" si="67">G228*E228</f>
        <v>0</v>
      </c>
      <c r="I228" s="39"/>
      <c r="J228" s="20">
        <f t="shared" ref="J228" si="68">I228*E228</f>
        <v>0</v>
      </c>
      <c r="K228" s="40"/>
      <c r="L228" s="21">
        <f t="shared" ref="L228" si="69">K228*E228</f>
        <v>0</v>
      </c>
      <c r="M228" s="40"/>
      <c r="N228" s="21">
        <f t="shared" ref="N228" si="70">M228*E228</f>
        <v>0</v>
      </c>
      <c r="O228" s="24"/>
      <c r="P228" s="21">
        <f t="shared" si="34"/>
        <v>0</v>
      </c>
      <c r="Q228" s="20">
        <f t="shared" ref="Q228" si="71">D228-G228-I228-K228-M228-O228</f>
        <v>10000</v>
      </c>
      <c r="R228" s="21">
        <f t="shared" ref="R228" si="72">Q228*E228</f>
        <v>15000</v>
      </c>
    </row>
    <row r="229" spans="1:19" s="41" customFormat="1" ht="30" customHeight="1">
      <c r="A229" s="54"/>
      <c r="B229" s="44" t="s">
        <v>2</v>
      </c>
      <c r="C229" s="44"/>
      <c r="D229" s="55"/>
      <c r="E229" s="56"/>
      <c r="F229" s="57">
        <f>SUM(F105:F228)</f>
        <v>44980250</v>
      </c>
      <c r="G229" s="58"/>
      <c r="H229" s="59">
        <f>SUM(H105:H228)</f>
        <v>0</v>
      </c>
      <c r="I229" s="59"/>
      <c r="J229" s="59">
        <f>SUM(J105:J228)</f>
        <v>0</v>
      </c>
      <c r="K229" s="60"/>
      <c r="L229" s="61">
        <f>SUM(L105:L228)</f>
        <v>0</v>
      </c>
      <c r="M229" s="62"/>
      <c r="N229" s="61">
        <f>SUM(N105:N228)</f>
        <v>0</v>
      </c>
      <c r="O229" s="60"/>
      <c r="P229" s="61">
        <f>SUM(P105:P228)</f>
        <v>0</v>
      </c>
      <c r="Q229" s="60"/>
      <c r="R229" s="61">
        <f>SUM(R105:R228)</f>
        <v>44980250</v>
      </c>
    </row>
    <row r="230" spans="1:19" s="41" customFormat="1" ht="30" customHeight="1">
      <c r="A230" s="45"/>
      <c r="B230" s="46" t="s">
        <v>3</v>
      </c>
      <c r="C230" s="47"/>
      <c r="D230" s="48"/>
      <c r="E230" s="49"/>
      <c r="F230" s="50">
        <f>F229+F103</f>
        <v>49821512.5</v>
      </c>
      <c r="G230" s="51"/>
      <c r="H230" s="50">
        <f>H229+H103</f>
        <v>0</v>
      </c>
      <c r="I230" s="51"/>
      <c r="J230" s="50">
        <f>J229+J103</f>
        <v>0</v>
      </c>
      <c r="K230" s="52"/>
      <c r="L230" s="50">
        <f>L229+L103</f>
        <v>0</v>
      </c>
      <c r="M230" s="53"/>
      <c r="N230" s="50">
        <f>N229+N103</f>
        <v>0</v>
      </c>
      <c r="O230" s="52"/>
      <c r="P230" s="50">
        <f>P229+P103</f>
        <v>0</v>
      </c>
      <c r="Q230" s="52"/>
      <c r="R230" s="50">
        <f>R229+R103</f>
        <v>49821512.5</v>
      </c>
    </row>
    <row r="232" spans="1:19" ht="38.25">
      <c r="M232" s="73" t="s">
        <v>260</v>
      </c>
      <c r="N232" s="73"/>
      <c r="O232" s="73"/>
      <c r="P232" s="73"/>
      <c r="Q232" s="73"/>
      <c r="R232" s="73"/>
      <c r="S232" s="9"/>
    </row>
    <row r="233" spans="1:19" ht="33">
      <c r="M233" s="72" t="s">
        <v>22</v>
      </c>
      <c r="N233" s="72"/>
      <c r="O233" s="72"/>
      <c r="P233" s="72"/>
      <c r="Q233" s="72"/>
      <c r="R233" s="72"/>
      <c r="S233" s="10"/>
    </row>
    <row r="238" spans="1:19">
      <c r="O238" s="43" t="s">
        <v>24</v>
      </c>
      <c r="P238" s="43"/>
    </row>
  </sheetData>
  <mergeCells count="19">
    <mergeCell ref="D10:F10"/>
    <mergeCell ref="A10:A11"/>
    <mergeCell ref="B10:B11"/>
    <mergeCell ref="M233:R233"/>
    <mergeCell ref="G7:M7"/>
    <mergeCell ref="G8:M8"/>
    <mergeCell ref="M232:R232"/>
    <mergeCell ref="I10:J10"/>
    <mergeCell ref="K10:L10"/>
    <mergeCell ref="M10:N10"/>
    <mergeCell ref="Q10:R10"/>
    <mergeCell ref="G10:H10"/>
    <mergeCell ref="O10:P10"/>
    <mergeCell ref="A103:C103"/>
    <mergeCell ref="N1:R1"/>
    <mergeCell ref="N2:R2"/>
    <mergeCell ref="G4:M4"/>
    <mergeCell ref="G5:M5"/>
    <mergeCell ref="G6:M6"/>
  </mergeCells>
  <pageMargins left="0.2" right="0.2" top="0.25" bottom="0.25" header="0.3" footer="0.3"/>
  <pageSetup scale="3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2026-10-26T03:48:16Z</dcterms:modified>
</cp:coreProperties>
</file>