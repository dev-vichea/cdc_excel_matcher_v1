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13_ncr:1_{3DC5656F-21FC-484B-94D3-583B812B7CDB}" xr6:coauthVersionLast="47" xr6:coauthVersionMax="47" xr10:uidLastSave="{00000000-0000-0000-0000-000000000000}"/>
  <bookViews>
    <workbookView xWindow="-98" yWindow="-98" windowWidth="27196" windowHeight="16426" activeTab="1" xr2:uid="{00000000-000D-0000-FFFF-FFFF00000000}"/>
  </bookViews>
  <sheets>
    <sheet name="INV" sheetId="1" r:id="rId1"/>
    <sheet name="PL" sheetId="2" r:id="rId2"/>
  </sheets>
  <definedNames>
    <definedName name="_xlnm.Print_Area" localSheetId="0">INV!$A$1:$G$49</definedName>
    <definedName name="_xlnm.Print_Area" localSheetId="1">PL!$A$1:$H$47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O32" i="1"/>
  <c r="N32" i="1"/>
  <c r="M32" i="1"/>
  <c r="L32" i="1"/>
  <c r="K32" i="1"/>
  <c r="J32" i="1"/>
  <c r="G32" i="1"/>
  <c r="G31" i="1"/>
  <c r="G30" i="1"/>
  <c r="G29" i="1"/>
  <c r="G28" i="1"/>
  <c r="G27" i="1"/>
  <c r="G26" i="1"/>
  <c r="G25" i="1"/>
  <c r="G24" i="1"/>
  <c r="G40" i="1" s="1"/>
  <c r="H39" i="2"/>
  <c r="G39" i="2"/>
  <c r="A39" i="2"/>
</calcChain>
</file>

<file path=xl/sharedStrings.xml><?xml version="1.0" encoding="utf-8"?>
<sst xmlns="http://schemas.openxmlformats.org/spreadsheetml/2006/main" count="115" uniqueCount="62">
  <si>
    <t>WEALDONE LIMITED</t>
  </si>
  <si>
    <t>FLAT/RM P, 4/F, LLADRO CENTRE,72 HOI YUEN ROAD,KWUN TONG 999077 KOWLOON CITY,HONGKONG</t>
  </si>
  <si>
    <t>PACKING LIST</t>
  </si>
  <si>
    <t>No.:</t>
  </si>
  <si>
    <t>RE2612040</t>
  </si>
  <si>
    <t xml:space="preserve">DATE: </t>
  </si>
  <si>
    <t>30-Oct-2026</t>
  </si>
  <si>
    <t>Shipping mode:</t>
  </si>
  <si>
    <t>From:</t>
  </si>
  <si>
    <t>Country of origin:</t>
  </si>
  <si>
    <t>CHINA</t>
  </si>
  <si>
    <t>Consignee:</t>
  </si>
  <si>
    <t>XIN CAI FU (CAMBODIA) CO., LTD.</t>
  </si>
  <si>
    <t>KINGDOM OF CAMBODIA.</t>
  </si>
  <si>
    <t>SHIPPING PERSON:</t>
  </si>
  <si>
    <t>VAT No : LO01-902303477</t>
  </si>
  <si>
    <t>PACKAGES NO.</t>
  </si>
  <si>
    <t>Description</t>
  </si>
  <si>
    <t>Quantity</t>
  </si>
  <si>
    <t>Net Weight</t>
  </si>
  <si>
    <t>Gross Weight</t>
  </si>
  <si>
    <t>KGS</t>
  </si>
  <si>
    <t>II - RAW MATERIALS AND ACCESSORIES</t>
  </si>
  <si>
    <t>ROLLS</t>
  </si>
  <si>
    <t>NW</t>
  </si>
  <si>
    <t>GW</t>
  </si>
  <si>
    <t>KNITTED FABRIC</t>
  </si>
  <si>
    <t>Kg</t>
  </si>
  <si>
    <t>RIBBON</t>
  </si>
  <si>
    <t>Yd</t>
  </si>
  <si>
    <t>MAIN LABEL</t>
  </si>
  <si>
    <t>Doz</t>
  </si>
  <si>
    <t>CARE LABEL</t>
  </si>
  <si>
    <t>METAL ZIPPER</t>
  </si>
  <si>
    <t>ELASTIC BAND</t>
  </si>
  <si>
    <t>Gross</t>
  </si>
  <si>
    <t>DRAWSTRING</t>
  </si>
  <si>
    <t>EYELET</t>
  </si>
  <si>
    <t>PLASTIC STOPPER</t>
  </si>
  <si>
    <t>ELASTIC STRING</t>
  </si>
  <si>
    <t>M</t>
  </si>
  <si>
    <t>Container /Seal :</t>
  </si>
  <si>
    <t>FFAU7241358/SITE954434/40HC (PART)</t>
  </si>
  <si>
    <t>INVOICE</t>
  </si>
  <si>
    <t>KEEPNH19080037</t>
  </si>
  <si>
    <t>CUT:</t>
  </si>
  <si>
    <t>No. 211/26.(03 September 2026)</t>
  </si>
  <si>
    <t>APPLIED:</t>
  </si>
  <si>
    <t>Marks &amp; Nos.</t>
  </si>
  <si>
    <t>Unit Price</t>
  </si>
  <si>
    <t>Amount</t>
  </si>
  <si>
    <t>CIF SIHANOUK VILLE PORT</t>
  </si>
  <si>
    <t>CDC #</t>
  </si>
  <si>
    <t>(USD)</t>
  </si>
  <si>
    <t>211/26</t>
  </si>
  <si>
    <t>AMOUNT</t>
  </si>
  <si>
    <t>YDS</t>
  </si>
  <si>
    <t>DZS</t>
  </si>
  <si>
    <t>BY TRUCK</t>
  </si>
  <si>
    <t>JIANGSU, CHINA TO PHNOM PENH,CAMBODIA</t>
  </si>
  <si>
    <t>PHUM DOMNAK TROYEOUNG, SANGKAT CHOM CHAO II,</t>
  </si>
  <si>
    <t>KHAN POR SEN CHEY PHNOM PENH,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</si>
</sst>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000000"/>
    <numFmt numFmtId="165" formatCode="[$-409]d/mmm/yy;@"/>
    <numFmt numFmtId="166" formatCode="_-* #,##0.00_-;\-* #,##0.00_-;_-* &quot;-&quot;??_-;_-@_-"/>
    <numFmt numFmtId="167" formatCode="#,###\ &quot;P'KGS&quot;"/>
    <numFmt numFmtId="168" formatCode="[$-409]d\-mmm\-yy;@"/>
    <numFmt numFmtId="169" formatCode="_(* #,##0_);_(* \(#,##0\);_(* &quot;-&quot;??_);_(@_)"/>
    <numFmt numFmtId="170" formatCode="#,###\ &quot;PACKAGES&quot;"/>
  </numFmts>
  <fonts count="34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indexed="9"/>
      <name val="Times New Roman"/>
      <family val="1"/>
    </font>
    <font>
      <sz val="10"/>
      <color indexed="8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3"/>
      <name val="Times New Roman"/>
      <family val="1"/>
    </font>
    <font>
      <b/>
      <u/>
      <sz val="13"/>
      <name val="Times New Roman"/>
      <family val="1"/>
    </font>
    <font>
      <b/>
      <sz val="13"/>
      <name val="Times New Roman"/>
      <family val="1"/>
    </font>
    <font>
      <sz val="13"/>
      <color indexed="9"/>
      <name val="Times New Roman"/>
      <family val="1"/>
    </font>
    <font>
      <b/>
      <u/>
      <sz val="12"/>
      <name val="Times New Roman"/>
      <family val="1"/>
    </font>
    <font>
      <b/>
      <sz val="13"/>
      <color indexed="9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color rgb="FFFFFFFF"/>
      <name val="新細明體"/>
      <family val="1"/>
      <charset val="136"/>
    </font>
    <font>
      <b/>
      <sz val="13"/>
      <color rgb="FFFFFFFF"/>
      <name val="Times New Roman"/>
      <family val="1"/>
    </font>
    <font>
      <sz val="10"/>
      <name val="新細明體"/>
      <family val="1"/>
      <charset val="136"/>
    </font>
    <font>
      <u/>
      <sz val="13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b/>
      <u/>
      <sz val="16"/>
      <name val="Times New Roman"/>
      <family val="1"/>
    </font>
    <font>
      <b/>
      <sz val="18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宋体"/>
      <charset val="134"/>
    </font>
    <font>
      <sz val="12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1">
    <xf numFmtId="0" fontId="0" fillId="0" borderId="0"/>
    <xf numFmtId="166" fontId="1" fillId="0" borderId="0"/>
    <xf numFmtId="0" fontId="1" fillId="0" borderId="0"/>
    <xf numFmtId="0" fontId="25" fillId="0" borderId="0">
      <alignment vertical="top"/>
    </xf>
    <xf numFmtId="43" fontId="25" fillId="0" borderId="0"/>
    <xf numFmtId="9" fontId="25" fillId="0" borderId="0"/>
    <xf numFmtId="43" fontId="26" fillId="0" borderId="0"/>
    <xf numFmtId="0" fontId="27" fillId="0" borderId="0">
      <alignment vertical="center"/>
    </xf>
    <xf numFmtId="166" fontId="27" fillId="0" borderId="0">
      <alignment vertical="center"/>
    </xf>
    <xf numFmtId="0" fontId="30" fillId="0" borderId="0"/>
    <xf numFmtId="0" fontId="31" fillId="0" borderId="0"/>
  </cellStyleXfs>
  <cellXfs count="19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0" fontId="6" fillId="0" borderId="0" xfId="0" applyFont="1"/>
    <xf numFmtId="165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left" vertical="top" shrinkToFi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1" fillId="0" borderId="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7" xfId="0" applyFont="1" applyBorder="1" applyAlignment="1">
      <alignment horizontal="right" vertical="center" shrinkToFit="1"/>
    </xf>
    <xf numFmtId="3" fontId="1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0" fontId="9" fillId="0" borderId="6" xfId="0" applyFont="1" applyBorder="1" applyAlignment="1">
      <alignment horizontal="right" vertical="center" shrinkToFit="1"/>
    </xf>
    <xf numFmtId="4" fontId="9" fillId="0" borderId="7" xfId="1" applyNumberFormat="1" applyFont="1" applyBorder="1" applyAlignment="1">
      <alignment vertical="center" shrinkToFit="1"/>
    </xf>
    <xf numFmtId="0" fontId="9" fillId="0" borderId="8" xfId="0" applyFont="1" applyBorder="1" applyAlignment="1">
      <alignment horizontal="left" vertical="center" shrinkToFit="1"/>
    </xf>
    <xf numFmtId="166" fontId="9" fillId="0" borderId="9" xfId="1" applyFont="1" applyBorder="1" applyAlignment="1">
      <alignment horizontal="center" vertical="center" shrinkToFit="1"/>
    </xf>
    <xf numFmtId="166" fontId="9" fillId="0" borderId="15" xfId="1" applyFont="1" applyBorder="1" applyAlignment="1">
      <alignment vertical="center" shrinkToFit="1"/>
    </xf>
    <xf numFmtId="0" fontId="9" fillId="0" borderId="6" xfId="0" applyFont="1" applyBorder="1" applyAlignment="1">
      <alignment horizontal="center" vertical="center" shrinkToFit="1"/>
    </xf>
    <xf numFmtId="166" fontId="9" fillId="0" borderId="7" xfId="1" applyFont="1" applyBorder="1" applyAlignment="1">
      <alignment horizontal="center" vertical="center" shrinkToFit="1"/>
    </xf>
    <xf numFmtId="166" fontId="9" fillId="0" borderId="8" xfId="1" applyFont="1" applyBorder="1" applyAlignment="1">
      <alignment horizontal="left" vertical="center" shrinkToFit="1"/>
    </xf>
    <xf numFmtId="166" fontId="9" fillId="0" borderId="16" xfId="1" applyFont="1" applyBorder="1" applyAlignment="1">
      <alignment horizontal="center" vertical="center" shrinkToFit="1"/>
    </xf>
    <xf numFmtId="166" fontId="12" fillId="0" borderId="0" xfId="1" applyFont="1" applyAlignment="1">
      <alignment vertical="center" shrinkToFit="1"/>
    </xf>
    <xf numFmtId="0" fontId="9" fillId="0" borderId="0" xfId="0" applyFont="1" applyAlignment="1">
      <alignment vertical="center" shrinkToFit="1"/>
    </xf>
    <xf numFmtId="2" fontId="9" fillId="0" borderId="8" xfId="2" applyNumberFormat="1" applyFont="1" applyBorder="1" applyAlignment="1">
      <alignment horizontal="left" vertical="center" shrinkToFit="1"/>
    </xf>
    <xf numFmtId="0" fontId="9" fillId="0" borderId="7" xfId="0" applyFont="1" applyBorder="1" applyAlignment="1">
      <alignment horizontal="left" vertical="center" shrinkToFit="1"/>
    </xf>
    <xf numFmtId="0" fontId="9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66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shrinkToFit="1"/>
    </xf>
    <xf numFmtId="0" fontId="9" fillId="0" borderId="0" xfId="0" applyFont="1" applyAlignment="1">
      <alignment horizontal="right" vertical="center"/>
    </xf>
    <xf numFmtId="0" fontId="16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166" fontId="11" fillId="0" borderId="0" xfId="0" applyNumberFormat="1" applyFont="1" applyAlignment="1">
      <alignment vertical="center"/>
    </xf>
    <xf numFmtId="0" fontId="12" fillId="0" borderId="15" xfId="0" applyFont="1" applyBorder="1" applyAlignment="1">
      <alignment vertical="center" shrinkToFit="1"/>
    </xf>
    <xf numFmtId="0" fontId="17" fillId="0" borderId="17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horizontal="right" vertical="center" shrinkToFit="1"/>
    </xf>
    <xf numFmtId="166" fontId="2" fillId="0" borderId="0" xfId="1" applyFont="1" applyAlignment="1">
      <alignment vertical="center"/>
    </xf>
    <xf numFmtId="166" fontId="3" fillId="0" borderId="0" xfId="1" applyFont="1" applyAlignment="1">
      <alignment vertical="center"/>
    </xf>
    <xf numFmtId="166" fontId="4" fillId="0" borderId="0" xfId="1" applyFont="1" applyAlignment="1">
      <alignment vertical="center"/>
    </xf>
    <xf numFmtId="166" fontId="7" fillId="0" borderId="3" xfId="1" applyFont="1" applyBorder="1" applyAlignment="1">
      <alignment horizontal="center" vertical="center"/>
    </xf>
    <xf numFmtId="166" fontId="7" fillId="0" borderId="4" xfId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66" fontId="8" fillId="0" borderId="9" xfId="1" applyFont="1" applyBorder="1" applyAlignment="1">
      <alignment horizontal="center" vertical="center"/>
    </xf>
    <xf numFmtId="166" fontId="7" fillId="0" borderId="10" xfId="1" applyFont="1" applyBorder="1" applyAlignment="1">
      <alignment horizontal="center" vertical="center"/>
    </xf>
    <xf numFmtId="166" fontId="5" fillId="0" borderId="0" xfId="1" applyFont="1" applyAlignment="1">
      <alignment vertical="center"/>
    </xf>
    <xf numFmtId="166" fontId="9" fillId="0" borderId="7" xfId="1" applyFont="1" applyBorder="1" applyAlignment="1">
      <alignment horizontal="right" vertical="center"/>
    </xf>
    <xf numFmtId="166" fontId="11" fillId="0" borderId="9" xfId="1" applyFont="1" applyBorder="1" applyAlignment="1">
      <alignment horizontal="center" vertical="center"/>
    </xf>
    <xf numFmtId="166" fontId="9" fillId="0" borderId="7" xfId="1" applyFont="1" applyBorder="1" applyAlignment="1">
      <alignment horizontal="center" vertical="center"/>
    </xf>
    <xf numFmtId="166" fontId="9" fillId="0" borderId="8" xfId="1" applyFont="1" applyBorder="1" applyAlignment="1">
      <alignment horizontal="left" vertical="center"/>
    </xf>
    <xf numFmtId="166" fontId="11" fillId="0" borderId="16" xfId="1" applyFont="1" applyBorder="1" applyAlignment="1">
      <alignment horizontal="center" vertical="center"/>
    </xf>
    <xf numFmtId="166" fontId="12" fillId="0" borderId="0" xfId="1" applyFont="1" applyAlignment="1">
      <alignment vertical="center"/>
    </xf>
    <xf numFmtId="166" fontId="7" fillId="0" borderId="9" xfId="1" applyFont="1" applyBorder="1" applyAlignment="1">
      <alignment horizontal="center" vertical="center"/>
    </xf>
    <xf numFmtId="4" fontId="9" fillId="0" borderId="9" xfId="1" applyNumberFormat="1" applyFont="1" applyBorder="1" applyAlignment="1">
      <alignment horizontal="right" vertical="center" shrinkToFit="1"/>
    </xf>
    <xf numFmtId="0" fontId="9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166" fontId="11" fillId="0" borderId="19" xfId="0" applyNumberFormat="1" applyFont="1" applyBorder="1" applyAlignment="1">
      <alignment horizontal="right" vertical="center" shrinkToFit="1"/>
    </xf>
    <xf numFmtId="0" fontId="11" fillId="0" borderId="21" xfId="0" applyFont="1" applyBorder="1" applyAlignment="1">
      <alignment horizontal="left" vertical="center" shrinkToFit="1"/>
    </xf>
    <xf numFmtId="166" fontId="11" fillId="0" borderId="20" xfId="1" applyFont="1" applyBorder="1" applyAlignment="1">
      <alignment horizontal="center" vertical="center" shrinkToFit="1"/>
    </xf>
    <xf numFmtId="4" fontId="15" fillId="0" borderId="19" xfId="1" applyNumberFormat="1" applyFont="1" applyBorder="1" applyAlignment="1">
      <alignment vertical="center" shrinkToFit="1"/>
    </xf>
    <xf numFmtId="4" fontId="11" fillId="0" borderId="21" xfId="0" applyNumberFormat="1" applyFont="1" applyBorder="1" applyAlignment="1">
      <alignment horizontal="left" vertical="center" shrinkToFit="1"/>
    </xf>
    <xf numFmtId="166" fontId="11" fillId="0" borderId="0" xfId="0" applyNumberFormat="1" applyFont="1" applyAlignment="1">
      <alignment horizontal="right" vertical="center" shrinkToFit="1"/>
    </xf>
    <xf numFmtId="166" fontId="11" fillId="0" borderId="0" xfId="1" applyFont="1" applyAlignment="1">
      <alignment horizontal="center" vertical="center" shrinkToFit="1"/>
    </xf>
    <xf numFmtId="166" fontId="21" fillId="0" borderId="15" xfId="1" applyFont="1" applyBorder="1" applyAlignment="1">
      <alignment vertical="center" shrinkToFit="1"/>
    </xf>
    <xf numFmtId="167" fontId="11" fillId="0" borderId="17" xfId="0" applyNumberFormat="1" applyFont="1" applyBorder="1" applyAlignment="1">
      <alignment horizontal="center" vertical="center" shrinkToFit="1"/>
    </xf>
    <xf numFmtId="167" fontId="11" fillId="0" borderId="0" xfId="0" applyNumberFormat="1" applyFont="1" applyAlignment="1">
      <alignment horizontal="center" vertical="center" shrinkToFit="1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" fontId="15" fillId="0" borderId="0" xfId="1" applyNumberFormat="1" applyFont="1" applyAlignment="1">
      <alignment vertical="center" shrinkToFit="1"/>
    </xf>
    <xf numFmtId="4" fontId="11" fillId="0" borderId="0" xfId="0" applyNumberFormat="1" applyFont="1" applyAlignment="1">
      <alignment horizontal="left" vertical="center" shrinkToFit="1"/>
    </xf>
    <xf numFmtId="166" fontId="14" fillId="0" borderId="0" xfId="1" applyFont="1" applyAlignment="1">
      <alignment vertical="center" shrinkToFit="1"/>
    </xf>
    <xf numFmtId="166" fontId="14" fillId="0" borderId="25" xfId="1" applyFont="1" applyBorder="1" applyAlignment="1">
      <alignment vertical="center" shrinkToFit="1"/>
    </xf>
    <xf numFmtId="166" fontId="9" fillId="0" borderId="0" xfId="1" applyFont="1" applyAlignment="1">
      <alignment horizontal="center" vertical="center" shrinkToFit="1"/>
    </xf>
    <xf numFmtId="166" fontId="22" fillId="0" borderId="0" xfId="1" applyFont="1" applyAlignment="1">
      <alignment vertical="center"/>
    </xf>
    <xf numFmtId="166" fontId="20" fillId="0" borderId="15" xfId="1" applyFont="1" applyBorder="1" applyAlignment="1">
      <alignment vertical="center"/>
    </xf>
    <xf numFmtId="0" fontId="23" fillId="0" borderId="17" xfId="0" applyFont="1" applyBorder="1" applyAlignment="1">
      <alignment vertical="center" shrinkToFit="1"/>
    </xf>
    <xf numFmtId="166" fontId="14" fillId="0" borderId="15" xfId="1" applyFont="1" applyBorder="1" applyAlignment="1">
      <alignment vertical="center" shrinkToFit="1"/>
    </xf>
    <xf numFmtId="0" fontId="9" fillId="0" borderId="0" xfId="1" applyNumberFormat="1" applyFont="1" applyAlignment="1">
      <alignment vertical="center" shrinkToFit="1"/>
    </xf>
    <xf numFmtId="0" fontId="16" fillId="0" borderId="0" xfId="1" applyNumberFormat="1" applyFont="1" applyAlignment="1">
      <alignment horizontal="center" vertical="center" shrinkToFit="1"/>
    </xf>
    <xf numFmtId="166" fontId="16" fillId="0" borderId="15" xfId="1" applyFont="1" applyBorder="1" applyAlignment="1">
      <alignment horizontal="center" vertical="center" shrinkToFit="1"/>
    </xf>
    <xf numFmtId="0" fontId="17" fillId="0" borderId="17" xfId="0" applyFont="1" applyBorder="1" applyAlignment="1">
      <alignment horizontal="right" vertical="center"/>
    </xf>
    <xf numFmtId="0" fontId="9" fillId="0" borderId="0" xfId="1" applyNumberFormat="1" applyFont="1" applyAlignment="1">
      <alignment horizontal="right" vertical="center" shrinkToFit="1"/>
    </xf>
    <xf numFmtId="166" fontId="2" fillId="0" borderId="0" xfId="1" applyFont="1" applyAlignment="1">
      <alignment vertical="center" shrinkToFit="1"/>
    </xf>
    <xf numFmtId="166" fontId="19" fillId="0" borderId="15" xfId="1" applyFont="1" applyBorder="1" applyAlignment="1">
      <alignment horizontal="right" vertical="center" shrinkToFit="1"/>
    </xf>
    <xf numFmtId="0" fontId="2" fillId="0" borderId="0" xfId="1" applyNumberFormat="1" applyFont="1" applyAlignment="1">
      <alignment vertical="center" shrinkToFit="1"/>
    </xf>
    <xf numFmtId="166" fontId="19" fillId="0" borderId="15" xfId="1" applyFont="1" applyBorder="1" applyAlignment="1">
      <alignment vertical="center" shrinkToFit="1"/>
    </xf>
    <xf numFmtId="166" fontId="4" fillId="0" borderId="0" xfId="1" applyFont="1" applyAlignment="1">
      <alignment horizontal="right" vertical="center" shrinkToFit="1"/>
    </xf>
    <xf numFmtId="168" fontId="4" fillId="0" borderId="0" xfId="1" applyNumberFormat="1" applyFont="1" applyAlignment="1">
      <alignment horizontal="center" vertical="center"/>
    </xf>
    <xf numFmtId="3" fontId="2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3" fontId="9" fillId="0" borderId="0" xfId="6" applyFont="1" applyAlignment="1">
      <alignment vertical="center" shrinkToFit="1"/>
    </xf>
    <xf numFmtId="166" fontId="9" fillId="0" borderId="16" xfId="1" applyFont="1" applyBorder="1" applyAlignment="1">
      <alignment vertical="center" shrinkToFit="1"/>
    </xf>
    <xf numFmtId="0" fontId="9" fillId="2" borderId="0" xfId="0" applyFont="1" applyFill="1" applyAlignment="1">
      <alignment vertical="center" shrinkToFi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7" xfId="0" applyFont="1" applyBorder="1" applyAlignment="1">
      <alignment vertical="center" shrinkToFit="1"/>
    </xf>
    <xf numFmtId="166" fontId="2" fillId="0" borderId="27" xfId="1" applyFont="1" applyBorder="1" applyAlignment="1">
      <alignment vertical="center" shrinkToFit="1"/>
    </xf>
    <xf numFmtId="0" fontId="2" fillId="0" borderId="28" xfId="0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19" fillId="0" borderId="27" xfId="0" applyFont="1" applyBorder="1" applyAlignment="1">
      <alignment vertical="center" shrinkToFit="1"/>
    </xf>
    <xf numFmtId="166" fontId="19" fillId="0" borderId="28" xfId="1" applyFont="1" applyBorder="1" applyAlignment="1">
      <alignment vertical="center" shrinkToFit="1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2" fillId="0" borderId="13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1" applyNumberFormat="1" applyFont="1" applyBorder="1" applyAlignment="1">
      <alignment vertical="center"/>
    </xf>
    <xf numFmtId="166" fontId="2" fillId="0" borderId="13" xfId="1" applyFont="1" applyBorder="1" applyAlignment="1">
      <alignment vertical="center"/>
    </xf>
    <xf numFmtId="43" fontId="12" fillId="0" borderId="0" xfId="0" applyNumberFormat="1" applyFont="1" applyAlignment="1">
      <alignment vertical="center"/>
    </xf>
    <xf numFmtId="15" fontId="4" fillId="0" borderId="0" xfId="0" applyNumberFormat="1" applyFont="1" applyAlignment="1">
      <alignment vertical="center"/>
    </xf>
    <xf numFmtId="43" fontId="9" fillId="0" borderId="0" xfId="6" applyFont="1" applyAlignment="1">
      <alignment vertical="center"/>
    </xf>
    <xf numFmtId="43" fontId="9" fillId="0" borderId="0" xfId="0" applyNumberFormat="1" applyFont="1" applyAlignment="1">
      <alignment vertical="center"/>
    </xf>
    <xf numFmtId="49" fontId="29" fillId="0" borderId="0" xfId="0" applyNumberFormat="1" applyFont="1"/>
    <xf numFmtId="0" fontId="13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shrinkToFit="1"/>
    </xf>
    <xf numFmtId="169" fontId="9" fillId="0" borderId="0" xfId="6" applyNumberFormat="1" applyFont="1" applyAlignment="1">
      <alignment vertical="center"/>
    </xf>
    <xf numFmtId="0" fontId="9" fillId="0" borderId="0" xfId="0" applyFont="1" applyAlignment="1">
      <alignment horizontal="center"/>
    </xf>
    <xf numFmtId="43" fontId="9" fillId="0" borderId="0" xfId="6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9" fillId="0" borderId="0" xfId="6" applyNumberFormat="1" applyFont="1" applyAlignment="1">
      <alignment horizontal="center" vertical="center" shrinkToFit="1"/>
    </xf>
    <xf numFmtId="169" fontId="9" fillId="0" borderId="0" xfId="0" applyNumberFormat="1" applyFont="1" applyAlignment="1">
      <alignment vertical="center"/>
    </xf>
    <xf numFmtId="43" fontId="9" fillId="0" borderId="0" xfId="6" applyFont="1" applyAlignment="1">
      <alignment horizontal="center" shrinkToFit="1"/>
    </xf>
    <xf numFmtId="169" fontId="9" fillId="0" borderId="0" xfId="6" applyNumberFormat="1" applyFont="1" applyAlignment="1">
      <alignment horizontal="center" shrinkToFit="1"/>
    </xf>
    <xf numFmtId="169" fontId="9" fillId="0" borderId="0" xfId="0" applyNumberFormat="1" applyFont="1" applyAlignment="1">
      <alignment horizontal="center"/>
    </xf>
    <xf numFmtId="12" fontId="9" fillId="0" borderId="0" xfId="0" applyNumberFormat="1" applyFont="1" applyAlignment="1">
      <alignment vertical="center"/>
    </xf>
    <xf numFmtId="170" fontId="11" fillId="2" borderId="18" xfId="0" applyNumberFormat="1" applyFont="1" applyFill="1" applyBorder="1" applyAlignment="1">
      <alignment horizontal="center" vertical="center" shrinkToFit="1"/>
    </xf>
    <xf numFmtId="49" fontId="4" fillId="0" borderId="0" xfId="1" applyNumberFormat="1" applyFont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3" fontId="32" fillId="0" borderId="7" xfId="1" applyNumberFormat="1" applyFont="1" applyBorder="1" applyAlignment="1">
      <alignment horizontal="right" vertical="center"/>
    </xf>
    <xf numFmtId="0" fontId="32" fillId="0" borderId="8" xfId="0" applyFont="1" applyBorder="1" applyAlignment="1">
      <alignment horizontal="left" vertical="center"/>
    </xf>
    <xf numFmtId="4" fontId="32" fillId="0" borderId="0" xfId="6" applyNumberFormat="1" applyFont="1" applyAlignment="1">
      <alignment horizontal="right" vertical="center"/>
    </xf>
    <xf numFmtId="4" fontId="32" fillId="0" borderId="16" xfId="1" applyNumberFormat="1" applyFont="1" applyBorder="1" applyAlignment="1">
      <alignment horizontal="right" vertical="center"/>
    </xf>
    <xf numFmtId="3" fontId="32" fillId="0" borderId="0" xfId="0" applyNumberFormat="1" applyFont="1" applyAlignment="1">
      <alignment horizontal="left" vertical="center"/>
    </xf>
    <xf numFmtId="0" fontId="32" fillId="0" borderId="7" xfId="0" applyFont="1" applyBorder="1" applyAlignment="1">
      <alignment horizontal="left" vertical="center"/>
    </xf>
    <xf numFmtId="4" fontId="11" fillId="0" borderId="22" xfId="1" applyNumberFormat="1" applyFont="1" applyBorder="1" applyAlignment="1">
      <alignment vertical="center" shrinkToFit="1"/>
    </xf>
    <xf numFmtId="0" fontId="33" fillId="0" borderId="6" xfId="0" applyFont="1" applyBorder="1" applyAlignment="1">
      <alignment horizontal="center" vertical="center"/>
    </xf>
    <xf numFmtId="166" fontId="32" fillId="0" borderId="8" xfId="1" applyFont="1" applyBorder="1" applyAlignment="1">
      <alignment horizontal="left" vertical="center"/>
    </xf>
    <xf numFmtId="4" fontId="32" fillId="0" borderId="9" xfId="1" applyNumberFormat="1" applyFont="1" applyBorder="1" applyAlignment="1">
      <alignment horizontal="right" vertical="center"/>
    </xf>
    <xf numFmtId="4" fontId="15" fillId="0" borderId="23" xfId="1" applyNumberFormat="1" applyFont="1" applyBorder="1" applyAlignment="1">
      <alignment vertical="center" shrinkToFit="1"/>
    </xf>
    <xf numFmtId="4" fontId="15" fillId="0" borderId="24" xfId="1" applyNumberFormat="1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2" fillId="0" borderId="0" xfId="1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16" fillId="0" borderId="15" xfId="1" applyNumberFormat="1" applyFon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0" fillId="0" borderId="15" xfId="0" applyBorder="1"/>
    <xf numFmtId="0" fontId="29" fillId="0" borderId="0" xfId="0" applyFont="1" applyAlignment="1">
      <alignment horizontal="center" vertical="center"/>
    </xf>
    <xf numFmtId="167" fontId="11" fillId="0" borderId="23" xfId="0" applyNumberFormat="1" applyFont="1" applyBorder="1" applyAlignment="1">
      <alignment horizontal="center" vertical="center" shrinkToFit="1"/>
    </xf>
    <xf numFmtId="0" fontId="0" fillId="0" borderId="20" xfId="0" applyBorder="1"/>
    <xf numFmtId="0" fontId="0" fillId="0" borderId="21" xfId="0" applyBorder="1"/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/>
    </xf>
    <xf numFmtId="166" fontId="9" fillId="0" borderId="15" xfId="0" applyNumberFormat="1" applyFont="1" applyBorder="1" applyAlignment="1">
      <alignment horizontal="center" vertical="center" shrinkToFit="1"/>
    </xf>
    <xf numFmtId="49" fontId="29" fillId="0" borderId="0" xfId="0" applyNumberFormat="1" applyFont="1" applyAlignment="1">
      <alignment horizontal="center"/>
    </xf>
    <xf numFmtId="49" fontId="30" fillId="0" borderId="0" xfId="9" quotePrefix="1" applyNumberFormat="1" applyAlignment="1">
      <alignment horizontal="center" vertical="center"/>
    </xf>
    <xf numFmtId="49" fontId="30" fillId="2" borderId="0" xfId="9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1">
    <cellStyle name="Comma" xfId="6" builtinId="3"/>
    <cellStyle name="Comma 2" xfId="1" xr:uid="{00000000-0005-0000-0000-000001000000}"/>
    <cellStyle name="Comma 3" xfId="4" xr:uid="{00000000-0005-0000-0000-000004000000}"/>
    <cellStyle name="Comma 4" xfId="8" xr:uid="{00000000-0005-0000-0000-000008000000}"/>
    <cellStyle name="Hyperlink" xfId="9" builtinId="8"/>
    <cellStyle name="Normal" xfId="0" builtinId="0"/>
    <cellStyle name="Normal 2" xfId="3" xr:uid="{00000000-0005-0000-0000-000003000000}"/>
    <cellStyle name="Normal 3" xfId="7" xr:uid="{00000000-0005-0000-0000-000007000000}"/>
    <cellStyle name="Percent 2" xfId="5" xr:uid="{00000000-0005-0000-0000-000005000000}"/>
    <cellStyle name="一般_PAKPAGE41" xfId="2" xr:uid="{00000000-0005-0000-0000-000002000000}"/>
    <cellStyle name="常规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552450</xdr:colOff>
      <xdr:row>3</xdr:row>
      <xdr:rowOff>123825</xdr:rowOff>
    </xdr:from>
    <xdr:to>
      <xdr:col>15</xdr:col>
      <xdr:colOff>105014</xdr:colOff>
      <xdr:row>8</xdr:row>
      <xdr:rowOff>28699</xdr:rowOff>
    </xdr:to>
    <xdr:pic>
      <xdr:nvPicPr>
        <xdr:cNvPr id="8088" name="Picture 8087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1100" y="762000"/>
          <a:ext cx="1714739" cy="8859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P53"/>
  <sheetViews>
    <sheetView view="pageBreakPreview" zoomScale="113" zoomScaleNormal="100" zoomScaleSheetLayoutView="100" workbookViewId="0">
      <selection activeCell="B10" sqref="B10"/>
    </sheetView>
  </sheetViews>
  <sheetFormatPr defaultColWidth="9.1328125" defaultRowHeight="13.15"/>
  <cols>
    <col min="1" max="1" width="16.86328125" style="1" customWidth="1"/>
    <col min="2" max="2" width="22.6640625" style="1" customWidth="1"/>
    <col min="3" max="3" width="18.46484375" style="1" customWidth="1"/>
    <col min="4" max="4" width="14.33203125" style="1" customWidth="1"/>
    <col min="5" max="5" width="8.46484375" style="1" customWidth="1"/>
    <col min="6" max="6" width="12" style="69" customWidth="1"/>
    <col min="7" max="7" width="19.33203125" style="1" customWidth="1"/>
    <col min="8" max="9" width="9.1328125" style="1" customWidth="1"/>
    <col min="10" max="10" width="12.46484375" style="1" customWidth="1"/>
    <col min="11" max="11" width="9" style="1" customWidth="1"/>
    <col min="12" max="13" width="14.53125" style="1" customWidth="1"/>
    <col min="14" max="14" width="15.53125" style="1" customWidth="1"/>
    <col min="15" max="15" width="16.86328125" style="1" customWidth="1"/>
    <col min="16" max="16" width="17.1328125" style="1" customWidth="1"/>
    <col min="17" max="17" width="9.1328125" style="1" customWidth="1"/>
    <col min="18" max="16384" width="9.1328125" style="1"/>
  </cols>
  <sheetData>
    <row r="1" spans="1:13" ht="22.8" customHeight="1">
      <c r="A1" s="192" t="s">
        <v>0</v>
      </c>
      <c r="B1" s="176"/>
      <c r="C1" s="176"/>
      <c r="D1" s="176"/>
      <c r="E1" s="176"/>
      <c r="F1" s="177"/>
      <c r="G1" s="176"/>
      <c r="H1" s="144"/>
      <c r="I1" s="144"/>
      <c r="J1" s="122"/>
      <c r="K1" s="122"/>
    </row>
    <row r="2" spans="1:13">
      <c r="A2" s="195" t="s">
        <v>1</v>
      </c>
      <c r="B2" s="176"/>
      <c r="C2" s="176"/>
      <c r="D2" s="176"/>
      <c r="E2" s="176"/>
      <c r="F2" s="177"/>
      <c r="G2" s="176"/>
    </row>
    <row r="3" spans="1:13" ht="14.45" customHeight="1">
      <c r="A3" s="193"/>
      <c r="B3" s="176"/>
      <c r="C3" s="176"/>
      <c r="D3" s="176"/>
      <c r="E3" s="176"/>
      <c r="F3" s="177"/>
      <c r="G3" s="176"/>
    </row>
    <row r="4" spans="1:13" ht="15" customHeight="1" thickBot="1">
      <c r="A4" s="194"/>
      <c r="B4" s="176"/>
      <c r="C4" s="176"/>
      <c r="D4" s="176"/>
      <c r="E4" s="176"/>
      <c r="F4" s="177"/>
      <c r="G4" s="176"/>
    </row>
    <row r="5" spans="1:13" ht="13.8" customHeight="1" thickTop="1">
      <c r="A5" s="136"/>
      <c r="B5" s="137"/>
      <c r="C5" s="137"/>
      <c r="D5" s="137"/>
      <c r="E5" s="137"/>
      <c r="F5" s="138"/>
      <c r="G5" s="137"/>
    </row>
    <row r="6" spans="1:13" ht="20.45" customHeight="1">
      <c r="A6" s="188" t="s">
        <v>43</v>
      </c>
      <c r="B6" s="176"/>
      <c r="C6" s="176"/>
      <c r="D6" s="176"/>
      <c r="E6" s="176"/>
      <c r="F6" s="177"/>
      <c r="G6" s="176"/>
    </row>
    <row r="7" spans="1:13">
      <c r="A7" s="2"/>
      <c r="B7" s="2"/>
      <c r="C7" s="2"/>
      <c r="D7" s="2"/>
      <c r="E7" s="2"/>
      <c r="F7" s="70"/>
      <c r="G7" s="2"/>
    </row>
    <row r="8" spans="1:13" s="3" customFormat="1" ht="13.8" customHeight="1">
      <c r="A8" s="3" t="s">
        <v>3</v>
      </c>
      <c r="B8" s="6" t="s">
        <v>4</v>
      </c>
      <c r="C8" s="4"/>
      <c r="D8" s="189" t="s">
        <v>44</v>
      </c>
      <c r="E8" s="190"/>
      <c r="F8" s="119" t="s">
        <v>5</v>
      </c>
      <c r="G8" s="160" t="s">
        <v>6</v>
      </c>
    </row>
    <row r="9" spans="1:13" s="3" customFormat="1" ht="13.8" customHeight="1">
      <c r="A9" s="3" t="s">
        <v>7</v>
      </c>
      <c r="B9" s="3" t="s">
        <v>58</v>
      </c>
      <c r="C9" s="7"/>
      <c r="D9" s="7">
        <v>43687</v>
      </c>
      <c r="E9" s="8"/>
      <c r="F9" s="9" t="s">
        <v>45</v>
      </c>
      <c r="G9" s="10">
        <v>43690</v>
      </c>
      <c r="J9" s="3" t="s">
        <v>46</v>
      </c>
      <c r="M9" s="141">
        <v>46268</v>
      </c>
    </row>
    <row r="10" spans="1:13" s="3" customFormat="1" ht="13.8" customHeight="1">
      <c r="A10" s="3" t="s">
        <v>8</v>
      </c>
      <c r="B10" s="3" t="s">
        <v>59</v>
      </c>
      <c r="F10" s="9" t="s">
        <v>47</v>
      </c>
      <c r="G10" s="10">
        <v>43690</v>
      </c>
      <c r="M10" s="141">
        <v>46633</v>
      </c>
    </row>
    <row r="11" spans="1:13" s="3" customFormat="1" ht="13.8" customHeight="1">
      <c r="A11" s="3" t="s">
        <v>9</v>
      </c>
      <c r="B11" s="3" t="s">
        <v>10</v>
      </c>
      <c r="F11" s="71"/>
      <c r="L11" s="141"/>
    </row>
    <row r="12" spans="1:13" s="3" customFormat="1" ht="13.8" customHeight="1">
      <c r="A12" s="3" t="s">
        <v>11</v>
      </c>
      <c r="B12" s="135" t="s">
        <v>12</v>
      </c>
      <c r="F12" s="71"/>
    </row>
    <row r="13" spans="1:13" s="3" customFormat="1" ht="13.8" customHeight="1">
      <c r="B13" s="3" t="s">
        <v>60</v>
      </c>
      <c r="F13" s="71"/>
    </row>
    <row r="14" spans="1:13" s="3" customFormat="1" ht="13.8" customHeight="1">
      <c r="B14" s="3" t="s">
        <v>61</v>
      </c>
      <c r="F14" s="71"/>
    </row>
    <row r="15" spans="1:13" s="3" customFormat="1" ht="13.8" customHeight="1">
      <c r="B15" s="3" t="s">
        <v>13</v>
      </c>
      <c r="F15" s="71"/>
    </row>
    <row r="16" spans="1:13" s="3" customFormat="1" ht="13.8" customHeight="1">
      <c r="B16" s="3" t="s">
        <v>14</v>
      </c>
      <c r="F16" s="71"/>
    </row>
    <row r="17" spans="1:16" s="3" customFormat="1" ht="13.8" customHeight="1">
      <c r="B17" s="3" t="s">
        <v>15</v>
      </c>
      <c r="F17" s="71"/>
    </row>
    <row r="18" spans="1:16" s="3" customFormat="1" ht="13.8" customHeight="1">
      <c r="F18" s="71"/>
    </row>
    <row r="19" spans="1:16" s="3" customFormat="1" ht="14.45" customHeight="1" thickBot="1">
      <c r="F19" s="71"/>
    </row>
    <row r="20" spans="1:16" s="3" customFormat="1" ht="15" customHeight="1" thickTop="1" thickBot="1">
      <c r="A20" s="11" t="s">
        <v>48</v>
      </c>
      <c r="B20" s="178" t="s">
        <v>17</v>
      </c>
      <c r="C20" s="180"/>
      <c r="D20" s="178" t="s">
        <v>18</v>
      </c>
      <c r="E20" s="180"/>
      <c r="F20" s="72" t="s">
        <v>49</v>
      </c>
      <c r="G20" s="12" t="s">
        <v>50</v>
      </c>
    </row>
    <row r="21" spans="1:16" s="3" customFormat="1" ht="15" customHeight="1" thickTop="1">
      <c r="A21" s="74"/>
      <c r="B21" s="14"/>
      <c r="D21" s="15"/>
      <c r="E21" s="16"/>
      <c r="F21" s="75" t="s">
        <v>51</v>
      </c>
      <c r="G21" s="17"/>
      <c r="H21" s="25"/>
    </row>
    <row r="22" spans="1:16" s="35" customFormat="1" ht="15.75" customHeight="1">
      <c r="A22" s="26" t="s">
        <v>52</v>
      </c>
      <c r="B22" s="27"/>
      <c r="C22" s="28"/>
      <c r="D22" s="78"/>
      <c r="E22" s="29"/>
      <c r="F22" s="79" t="s">
        <v>53</v>
      </c>
      <c r="G22" s="30" t="s">
        <v>53</v>
      </c>
      <c r="H22" s="34"/>
    </row>
    <row r="23" spans="1:16" s="35" customFormat="1" ht="18" customHeight="1">
      <c r="A23" s="36" t="s">
        <v>54</v>
      </c>
      <c r="B23" s="145" t="s">
        <v>22</v>
      </c>
      <c r="C23" s="146"/>
      <c r="D23" s="78"/>
      <c r="E23" s="29"/>
      <c r="F23" s="84"/>
      <c r="G23" s="30"/>
      <c r="H23" s="34"/>
      <c r="J23" s="35" t="s">
        <v>55</v>
      </c>
      <c r="K23" s="35" t="s">
        <v>23</v>
      </c>
      <c r="L23" s="35" t="s">
        <v>24</v>
      </c>
      <c r="M23" s="35" t="s">
        <v>25</v>
      </c>
      <c r="N23" s="148" t="s">
        <v>56</v>
      </c>
      <c r="O23" s="58" t="s">
        <v>57</v>
      </c>
    </row>
    <row r="24" spans="1:16" s="35" customFormat="1" ht="18" customHeight="1">
      <c r="A24" s="161">
        <v>4</v>
      </c>
      <c r="B24" s="162" t="s">
        <v>26</v>
      </c>
      <c r="C24" s="38"/>
      <c r="D24" s="163">
        <v>6406</v>
      </c>
      <c r="E24" s="164" t="s">
        <v>27</v>
      </c>
      <c r="F24" s="165">
        <v>4.5</v>
      </c>
      <c r="G24" s="166">
        <f t="shared" ref="G24:G33" si="0">D24*F24</f>
        <v>28827</v>
      </c>
      <c r="H24" s="49"/>
      <c r="I24" s="49"/>
      <c r="J24" s="123"/>
      <c r="K24" s="152"/>
      <c r="L24" s="142"/>
      <c r="M24" s="142"/>
      <c r="N24" s="143"/>
    </row>
    <row r="25" spans="1:16" s="35" customFormat="1" ht="18" customHeight="1">
      <c r="A25" s="161">
        <v>13</v>
      </c>
      <c r="B25" s="167" t="s">
        <v>28</v>
      </c>
      <c r="C25" s="38"/>
      <c r="D25" s="163">
        <v>5905</v>
      </c>
      <c r="E25" s="164" t="s">
        <v>29</v>
      </c>
      <c r="F25" s="165">
        <v>0.04</v>
      </c>
      <c r="G25" s="166">
        <f t="shared" si="0"/>
        <v>236.20000000000002</v>
      </c>
      <c r="H25" s="49"/>
      <c r="I25" s="49"/>
      <c r="J25" s="123"/>
      <c r="K25" s="152"/>
      <c r="L25" s="142"/>
      <c r="M25" s="142"/>
      <c r="N25" s="143"/>
    </row>
    <row r="26" spans="1:16" s="35" customFormat="1" ht="18" customHeight="1">
      <c r="A26" s="161">
        <v>14</v>
      </c>
      <c r="B26" s="167" t="s">
        <v>30</v>
      </c>
      <c r="C26" s="41"/>
      <c r="D26" s="163">
        <v>2113</v>
      </c>
      <c r="E26" s="164" t="s">
        <v>31</v>
      </c>
      <c r="F26" s="165">
        <v>0.2</v>
      </c>
      <c r="G26" s="166">
        <f t="shared" si="0"/>
        <v>422.6</v>
      </c>
      <c r="H26" s="49"/>
      <c r="I26" s="49"/>
      <c r="J26" s="149"/>
      <c r="K26" s="153"/>
      <c r="L26" s="149"/>
      <c r="M26" s="149"/>
      <c r="N26" s="147"/>
      <c r="O26" s="143"/>
      <c r="P26" s="143"/>
    </row>
    <row r="27" spans="1:16" s="35" customFormat="1" ht="18" customHeight="1">
      <c r="A27" s="161">
        <v>17</v>
      </c>
      <c r="B27" s="167" t="s">
        <v>32</v>
      </c>
      <c r="C27" s="38"/>
      <c r="D27" s="163">
        <v>2113</v>
      </c>
      <c r="E27" s="164" t="s">
        <v>31</v>
      </c>
      <c r="F27" s="165">
        <v>0.15</v>
      </c>
      <c r="G27" s="166">
        <f t="shared" si="0"/>
        <v>316.95</v>
      </c>
      <c r="H27" s="49"/>
      <c r="I27" s="49"/>
      <c r="J27" s="149"/>
      <c r="K27" s="153"/>
      <c r="L27" s="149"/>
      <c r="M27" s="149"/>
      <c r="N27" s="154"/>
      <c r="O27" s="143"/>
    </row>
    <row r="28" spans="1:16" s="35" customFormat="1" ht="18" customHeight="1">
      <c r="A28" s="161">
        <v>26</v>
      </c>
      <c r="B28" s="168" t="s">
        <v>33</v>
      </c>
      <c r="C28" s="38"/>
      <c r="D28" s="163">
        <v>2120</v>
      </c>
      <c r="E28" s="164" t="s">
        <v>31</v>
      </c>
      <c r="F28" s="165">
        <v>1</v>
      </c>
      <c r="G28" s="166">
        <f t="shared" si="0"/>
        <v>2120</v>
      </c>
      <c r="H28" s="49"/>
      <c r="I28" s="49"/>
      <c r="J28" s="155"/>
      <c r="K28" s="156"/>
      <c r="L28" s="155"/>
      <c r="M28" s="155"/>
      <c r="N28" s="157"/>
      <c r="O28" s="154"/>
    </row>
    <row r="29" spans="1:16" s="35" customFormat="1" ht="18" customHeight="1">
      <c r="A29" s="161">
        <v>28</v>
      </c>
      <c r="B29" s="162" t="s">
        <v>34</v>
      </c>
      <c r="C29" s="38"/>
      <c r="D29" s="163">
        <v>407</v>
      </c>
      <c r="E29" s="164" t="s">
        <v>35</v>
      </c>
      <c r="F29" s="165">
        <v>8.6570999999999998</v>
      </c>
      <c r="G29" s="166">
        <f t="shared" si="0"/>
        <v>3523.4396999999999</v>
      </c>
      <c r="H29" s="49"/>
      <c r="I29" s="49"/>
      <c r="J29" s="155"/>
      <c r="K29" s="156"/>
      <c r="L29" s="155"/>
      <c r="M29" s="155"/>
      <c r="N29" s="156"/>
      <c r="O29" s="156"/>
      <c r="P29" s="158"/>
    </row>
    <row r="30" spans="1:16" s="35" customFormat="1" ht="18" customHeight="1">
      <c r="A30" s="161">
        <v>29</v>
      </c>
      <c r="B30" s="162" t="s">
        <v>36</v>
      </c>
      <c r="C30" s="38"/>
      <c r="D30" s="163">
        <v>284</v>
      </c>
      <c r="E30" s="164" t="s">
        <v>27</v>
      </c>
      <c r="F30" s="165">
        <v>3</v>
      </c>
      <c r="G30" s="166">
        <f t="shared" si="0"/>
        <v>852</v>
      </c>
      <c r="H30" s="49"/>
      <c r="I30" s="49"/>
      <c r="J30" s="149"/>
      <c r="K30" s="153"/>
      <c r="L30" s="149"/>
      <c r="M30" s="149"/>
      <c r="N30" s="153"/>
      <c r="O30" s="154"/>
    </row>
    <row r="31" spans="1:16" s="35" customFormat="1" ht="18" customHeight="1">
      <c r="A31" s="161">
        <v>31</v>
      </c>
      <c r="B31" s="162" t="s">
        <v>37</v>
      </c>
      <c r="C31" s="38"/>
      <c r="D31" s="163">
        <v>1201</v>
      </c>
      <c r="E31" s="164" t="s">
        <v>35</v>
      </c>
      <c r="F31" s="165">
        <v>1.2</v>
      </c>
      <c r="G31" s="166">
        <f t="shared" si="0"/>
        <v>1441.2</v>
      </c>
      <c r="H31" s="125"/>
      <c r="I31" s="49"/>
      <c r="J31" s="149"/>
      <c r="K31" s="150"/>
      <c r="L31" s="151"/>
      <c r="M31" s="151"/>
      <c r="N31" s="147"/>
      <c r="O31" s="143"/>
    </row>
    <row r="32" spans="1:16" s="35" customFormat="1" ht="18" customHeight="1">
      <c r="A32" s="161">
        <v>61</v>
      </c>
      <c r="B32" s="162" t="s">
        <v>38</v>
      </c>
      <c r="C32" s="38"/>
      <c r="D32" s="163">
        <v>518</v>
      </c>
      <c r="E32" s="164" t="s">
        <v>35</v>
      </c>
      <c r="F32" s="165">
        <v>1</v>
      </c>
      <c r="G32" s="166">
        <f t="shared" si="0"/>
        <v>518</v>
      </c>
      <c r="H32" s="125"/>
      <c r="I32" s="49"/>
      <c r="J32" s="149">
        <f t="shared" ref="J32:O32" si="1">SUM(J24:J30)</f>
        <v>0</v>
      </c>
      <c r="K32" s="153">
        <f t="shared" si="1"/>
        <v>0</v>
      </c>
      <c r="L32" s="149">
        <f t="shared" si="1"/>
        <v>0</v>
      </c>
      <c r="M32" s="149">
        <f t="shared" si="1"/>
        <v>0</v>
      </c>
      <c r="N32" s="153">
        <f t="shared" si="1"/>
        <v>0</v>
      </c>
      <c r="O32" s="149">
        <f t="shared" si="1"/>
        <v>0</v>
      </c>
    </row>
    <row r="33" spans="1:15" s="35" customFormat="1" ht="18" customHeight="1">
      <c r="A33" s="161">
        <v>86</v>
      </c>
      <c r="B33" s="162" t="s">
        <v>39</v>
      </c>
      <c r="C33" s="38"/>
      <c r="D33" s="163">
        <v>141600</v>
      </c>
      <c r="E33" s="164" t="s">
        <v>40</v>
      </c>
      <c r="F33" s="165">
        <v>0.01</v>
      </c>
      <c r="G33" s="166">
        <f t="shared" si="0"/>
        <v>1416</v>
      </c>
      <c r="H33" s="125"/>
      <c r="I33" s="49"/>
      <c r="J33" s="149"/>
      <c r="K33" s="150"/>
      <c r="L33" s="151"/>
      <c r="M33" s="151"/>
      <c r="N33" s="154"/>
      <c r="O33" s="143"/>
    </row>
    <row r="34" spans="1:15" s="35" customFormat="1" ht="18" customHeight="1">
      <c r="A34" s="39"/>
      <c r="C34" s="38"/>
      <c r="D34" s="40"/>
      <c r="E34" s="41"/>
      <c r="F34" s="123"/>
      <c r="G34" s="124"/>
      <c r="H34" s="125"/>
      <c r="I34" s="49"/>
      <c r="J34" s="123"/>
      <c r="K34" s="49"/>
    </row>
    <row r="35" spans="1:15" s="35" customFormat="1" ht="18" customHeight="1">
      <c r="A35" s="39"/>
      <c r="C35" s="38"/>
      <c r="D35" s="40"/>
      <c r="E35" s="41"/>
      <c r="F35" s="123"/>
      <c r="G35" s="124"/>
      <c r="H35" s="125"/>
      <c r="I35" s="49"/>
      <c r="J35" s="123"/>
      <c r="K35" s="49"/>
    </row>
    <row r="36" spans="1:15" s="35" customFormat="1" ht="18" customHeight="1">
      <c r="A36" s="39"/>
      <c r="C36" s="38"/>
      <c r="D36" s="40"/>
      <c r="E36" s="41"/>
      <c r="F36" s="123"/>
      <c r="G36" s="124"/>
      <c r="H36" s="49"/>
      <c r="I36" s="49"/>
      <c r="J36" s="149"/>
      <c r="K36" s="153"/>
      <c r="L36" s="149"/>
      <c r="M36" s="149"/>
      <c r="N36" s="154"/>
      <c r="O36" s="154"/>
    </row>
    <row r="37" spans="1:15" s="35" customFormat="1" ht="18" customHeight="1">
      <c r="A37" s="39"/>
      <c r="C37" s="38"/>
      <c r="D37" s="40"/>
      <c r="E37" s="41"/>
      <c r="F37" s="123"/>
      <c r="G37" s="124"/>
      <c r="H37" s="49"/>
      <c r="I37" s="49"/>
      <c r="J37" s="155"/>
      <c r="K37" s="156"/>
      <c r="L37" s="155"/>
      <c r="M37" s="155"/>
      <c r="N37" s="157"/>
      <c r="O37" s="154"/>
    </row>
    <row r="38" spans="1:15" s="35" customFormat="1" ht="18" customHeight="1">
      <c r="A38" s="39"/>
      <c r="C38" s="38"/>
      <c r="D38" s="40"/>
      <c r="E38" s="41"/>
      <c r="F38" s="123"/>
      <c r="G38" s="124"/>
      <c r="H38" s="49"/>
      <c r="I38" s="49"/>
      <c r="J38" s="123"/>
      <c r="K38" s="49"/>
    </row>
    <row r="39" spans="1:15" s="35" customFormat="1" ht="16.8" customHeight="1">
      <c r="A39" s="39"/>
      <c r="B39" s="51"/>
      <c r="C39" s="41"/>
      <c r="D39" s="40"/>
      <c r="E39" s="50"/>
      <c r="F39" s="42"/>
      <c r="G39" s="43"/>
      <c r="H39" s="49"/>
      <c r="I39" s="49"/>
      <c r="J39" s="49"/>
      <c r="K39" s="49"/>
    </row>
    <row r="40" spans="1:15" s="35" customFormat="1" ht="17.45" customHeight="1" thickBot="1">
      <c r="A40" s="86"/>
      <c r="B40" s="87"/>
      <c r="C40" s="88"/>
      <c r="D40" s="89"/>
      <c r="E40" s="90"/>
      <c r="F40" s="91"/>
      <c r="G40" s="169">
        <f>SUM(G24:G33)</f>
        <v>39673.3897</v>
      </c>
      <c r="H40" s="34"/>
      <c r="I40" s="34"/>
    </row>
    <row r="41" spans="1:15" s="35" customFormat="1" ht="17.45" customHeight="1" thickTop="1">
      <c r="A41" s="52"/>
      <c r="B41" s="53"/>
      <c r="C41" s="54"/>
      <c r="D41" s="94"/>
      <c r="E41" s="57"/>
      <c r="F41" s="95"/>
      <c r="G41" s="96"/>
      <c r="H41" s="34"/>
      <c r="I41" s="34"/>
    </row>
    <row r="42" spans="1:15" s="35" customFormat="1" ht="16.8" customHeight="1">
      <c r="A42" s="52"/>
      <c r="B42" s="55"/>
      <c r="C42" s="56"/>
      <c r="D42" s="57"/>
      <c r="E42" s="105"/>
      <c r="F42" s="106"/>
      <c r="G42" s="107"/>
      <c r="H42" s="32"/>
      <c r="I42" s="58"/>
      <c r="J42" s="32"/>
    </row>
    <row r="43" spans="1:15" s="35" customFormat="1" ht="16.8" customHeight="1">
      <c r="A43" s="52"/>
      <c r="B43" s="55"/>
      <c r="C43" s="56"/>
      <c r="D43" s="60"/>
      <c r="E43" s="191" t="s">
        <v>0</v>
      </c>
      <c r="F43" s="182"/>
      <c r="G43" s="183"/>
    </row>
    <row r="44" spans="1:15" s="35" customFormat="1" ht="16.8" customHeight="1">
      <c r="A44" s="52"/>
      <c r="B44" s="55"/>
      <c r="C44" s="61"/>
      <c r="D44" s="60"/>
      <c r="E44" s="38"/>
      <c r="F44" s="48"/>
      <c r="G44" s="62"/>
    </row>
    <row r="45" spans="1:15" ht="16.8" customHeight="1">
      <c r="A45" s="55"/>
      <c r="B45" s="55"/>
      <c r="C45" s="55"/>
      <c r="D45" s="55"/>
      <c r="E45" s="55"/>
      <c r="F45" s="55"/>
      <c r="G45" s="66"/>
    </row>
    <row r="46" spans="1:15" ht="16.8" customHeight="1">
      <c r="A46" s="55"/>
      <c r="B46" s="55"/>
      <c r="C46" s="55"/>
      <c r="D46" s="55"/>
      <c r="E46" s="55"/>
      <c r="F46" s="55"/>
      <c r="G46" s="66"/>
    </row>
    <row r="47" spans="1:15" ht="16.8" customHeight="1">
      <c r="A47" s="55"/>
      <c r="B47" s="55"/>
      <c r="C47" s="55"/>
      <c r="D47" s="55"/>
      <c r="E47" s="55"/>
      <c r="F47" s="55"/>
      <c r="G47" s="66"/>
    </row>
    <row r="48" spans="1:15" ht="13.8" customHeight="1" thickBot="1">
      <c r="A48" s="126"/>
      <c r="B48" s="127"/>
      <c r="C48" s="127"/>
      <c r="D48" s="128"/>
      <c r="E48" s="128"/>
      <c r="F48" s="129"/>
      <c r="G48" s="130"/>
    </row>
    <row r="49" spans="4:7" ht="13.8" customHeight="1" thickTop="1">
      <c r="D49" s="65"/>
      <c r="E49" s="65"/>
      <c r="F49" s="115"/>
      <c r="G49" s="65"/>
    </row>
    <row r="50" spans="4:7">
      <c r="D50" s="65"/>
      <c r="E50" s="65"/>
      <c r="F50" s="115"/>
      <c r="G50" s="65"/>
    </row>
    <row r="51" spans="4:7">
      <c r="D51" s="65"/>
      <c r="E51" s="65"/>
      <c r="F51" s="115"/>
      <c r="G51" s="65"/>
    </row>
    <row r="52" spans="4:7">
      <c r="D52" s="65"/>
      <c r="E52" s="65"/>
      <c r="F52" s="115"/>
      <c r="G52" s="65"/>
    </row>
    <row r="53" spans="4:7">
      <c r="D53" s="65"/>
      <c r="E53" s="65"/>
      <c r="F53" s="115"/>
      <c r="G53" s="65"/>
    </row>
  </sheetData>
  <mergeCells count="9">
    <mergeCell ref="D8:E8"/>
    <mergeCell ref="E43:G43"/>
    <mergeCell ref="A1:G1"/>
    <mergeCell ref="A3:G3"/>
    <mergeCell ref="A6:G6"/>
    <mergeCell ref="B20:C20"/>
    <mergeCell ref="D20:E20"/>
    <mergeCell ref="A4:G4"/>
    <mergeCell ref="A2:G2"/>
  </mergeCells>
  <printOptions horizontalCentered="1"/>
  <pageMargins left="0.45" right="0.45" top="0.75" bottom="0.75" header="0.3" footer="0.3"/>
  <pageSetup paperSize="9" scale="83" orientation="portrait" r:id="rId1"/>
  <rowBreaks count="1" manualBreakCount="1">
    <brk id="23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52"/>
  <sheetViews>
    <sheetView tabSelected="1" view="pageBreakPreview" zoomScaleNormal="100" zoomScaleSheetLayoutView="100" workbookViewId="0">
      <selection activeCell="F34" sqref="F34"/>
    </sheetView>
  </sheetViews>
  <sheetFormatPr defaultColWidth="9.1328125" defaultRowHeight="13.15"/>
  <cols>
    <col min="1" max="1" width="19.53125" style="1" customWidth="1"/>
    <col min="2" max="2" width="14.6640625" style="1" customWidth="1"/>
    <col min="3" max="3" width="14.1328125" style="1" customWidth="1"/>
    <col min="4" max="4" width="12.6640625" style="1" customWidth="1"/>
    <col min="5" max="5" width="13.6640625" style="1" customWidth="1"/>
    <col min="6" max="6" width="9" style="1" customWidth="1"/>
    <col min="7" max="7" width="15.46484375" style="1" customWidth="1"/>
    <col min="8" max="8" width="15.46484375" style="69" customWidth="1"/>
    <col min="9" max="9" width="10.6640625" style="69" customWidth="1"/>
    <col min="10" max="10" width="10.86328125" style="1" bestFit="1" customWidth="1"/>
    <col min="11" max="13" width="9.1328125" style="1" customWidth="1"/>
    <col min="14" max="16384" width="9.1328125" style="1"/>
  </cols>
  <sheetData>
    <row r="1" spans="1:9" ht="22.8" customHeight="1">
      <c r="A1" s="184" t="s">
        <v>0</v>
      </c>
      <c r="B1" s="176"/>
      <c r="C1" s="176"/>
      <c r="D1" s="176"/>
      <c r="E1" s="176"/>
      <c r="F1" s="176"/>
      <c r="G1" s="176"/>
      <c r="H1" s="177"/>
    </row>
    <row r="2" spans="1:9">
      <c r="A2" s="175" t="s">
        <v>1</v>
      </c>
      <c r="B2" s="176"/>
      <c r="C2" s="176"/>
      <c r="D2" s="176"/>
      <c r="E2" s="176"/>
      <c r="F2" s="176"/>
      <c r="G2" s="176"/>
      <c r="H2" s="177"/>
    </row>
    <row r="3" spans="1:9">
      <c r="A3" s="175"/>
      <c r="B3" s="176"/>
      <c r="C3" s="176"/>
      <c r="D3" s="176"/>
      <c r="E3" s="176"/>
      <c r="F3" s="176"/>
      <c r="G3" s="176"/>
      <c r="H3" s="177"/>
    </row>
    <row r="4" spans="1:9" ht="13.8" customHeight="1" thickBot="1">
      <c r="A4" s="175"/>
      <c r="B4" s="176"/>
      <c r="C4" s="176"/>
      <c r="D4" s="176"/>
      <c r="E4" s="176"/>
      <c r="F4" s="176"/>
      <c r="G4" s="176"/>
      <c r="H4" s="177"/>
    </row>
    <row r="5" spans="1:9" ht="21" customHeight="1" thickTop="1">
      <c r="A5" s="137"/>
      <c r="B5" s="137"/>
      <c r="C5" s="137"/>
      <c r="D5" s="137"/>
      <c r="E5" s="137"/>
      <c r="F5" s="137"/>
      <c r="G5" s="137"/>
      <c r="H5" s="139"/>
    </row>
    <row r="6" spans="1:9" ht="20.45" customHeight="1">
      <c r="A6" s="188" t="s">
        <v>2</v>
      </c>
      <c r="B6" s="176"/>
      <c r="C6" s="176"/>
      <c r="D6" s="176"/>
      <c r="E6" s="176"/>
      <c r="F6" s="176"/>
      <c r="G6" s="176"/>
      <c r="H6" s="177"/>
    </row>
    <row r="8" spans="1:9" s="3" customFormat="1" ht="13.8" customHeight="1">
      <c r="A8" s="3" t="s">
        <v>3</v>
      </c>
      <c r="B8" s="6" t="s">
        <v>4</v>
      </c>
      <c r="G8" s="5" t="s">
        <v>5</v>
      </c>
      <c r="H8" s="120" t="s">
        <v>6</v>
      </c>
      <c r="I8" s="71"/>
    </row>
    <row r="9" spans="1:9" s="3" customFormat="1" ht="13.8" customHeight="1">
      <c r="A9" s="3" t="s">
        <v>7</v>
      </c>
      <c r="B9" s="6" t="s">
        <v>58</v>
      </c>
      <c r="H9" s="71"/>
      <c r="I9" s="71"/>
    </row>
    <row r="10" spans="1:9" s="3" customFormat="1" ht="13.8" customHeight="1">
      <c r="A10" s="3" t="s">
        <v>8</v>
      </c>
      <c r="B10" s="6" t="s">
        <v>59</v>
      </c>
      <c r="H10" s="71"/>
      <c r="I10" s="71"/>
    </row>
    <row r="11" spans="1:9" s="3" customFormat="1" ht="13.8" customHeight="1">
      <c r="A11" s="3" t="s">
        <v>9</v>
      </c>
      <c r="B11" s="6" t="s">
        <v>10</v>
      </c>
      <c r="H11" s="71"/>
      <c r="I11" s="71"/>
    </row>
    <row r="12" spans="1:9" s="3" customFormat="1" ht="13.8" customHeight="1">
      <c r="A12" s="3" t="s">
        <v>11</v>
      </c>
      <c r="B12" s="134" t="s">
        <v>12</v>
      </c>
      <c r="H12" s="71"/>
      <c r="I12" s="71"/>
    </row>
    <row r="13" spans="1:9" s="3" customFormat="1" ht="13.8" customHeight="1">
      <c r="B13" s="3" t="s">
        <v>60</v>
      </c>
      <c r="H13" s="71"/>
      <c r="I13" s="71"/>
    </row>
    <row r="14" spans="1:9" s="3" customFormat="1" ht="13.8" customHeight="1">
      <c r="B14" s="3" t="s">
        <v>61</v>
      </c>
      <c r="H14" s="71"/>
      <c r="I14" s="71"/>
    </row>
    <row r="15" spans="1:9" s="3" customFormat="1" ht="13.8" customHeight="1">
      <c r="B15" s="6" t="s">
        <v>14</v>
      </c>
      <c r="H15" s="71"/>
      <c r="I15" s="71"/>
    </row>
    <row r="16" spans="1:9" s="3" customFormat="1" ht="13.8" customHeight="1">
      <c r="B16" s="6" t="s">
        <v>15</v>
      </c>
      <c r="H16" s="71"/>
      <c r="I16" s="71"/>
    </row>
    <row r="17" spans="1:19" s="3" customFormat="1" ht="13.8" customHeight="1">
      <c r="B17" s="6"/>
      <c r="H17" s="71"/>
      <c r="I17" s="71"/>
    </row>
    <row r="18" spans="1:19" s="3" customFormat="1" ht="14.45" customHeight="1" thickBot="1">
      <c r="B18" s="6"/>
      <c r="H18" s="71"/>
      <c r="I18" s="71"/>
    </row>
    <row r="19" spans="1:19" s="3" customFormat="1" ht="15" customHeight="1" thickTop="1" thickBot="1">
      <c r="A19" s="11" t="s">
        <v>16</v>
      </c>
      <c r="B19" s="178" t="s">
        <v>17</v>
      </c>
      <c r="C19" s="179"/>
      <c r="D19" s="180"/>
      <c r="E19" s="178" t="s">
        <v>18</v>
      </c>
      <c r="F19" s="180"/>
      <c r="G19" s="13" t="s">
        <v>19</v>
      </c>
      <c r="H19" s="73" t="s">
        <v>20</v>
      </c>
      <c r="I19" s="71"/>
    </row>
    <row r="20" spans="1:19" s="3" customFormat="1" ht="15" customHeight="1" thickTop="1">
      <c r="A20" s="18"/>
      <c r="B20" s="19"/>
      <c r="C20" s="20"/>
      <c r="D20" s="21"/>
      <c r="E20" s="22"/>
      <c r="F20" s="23"/>
      <c r="G20" s="24"/>
      <c r="H20" s="76"/>
      <c r="I20" s="77"/>
      <c r="J20" s="25"/>
    </row>
    <row r="21" spans="1:19" s="35" customFormat="1" ht="15.75" customHeight="1">
      <c r="A21" s="26"/>
      <c r="B21" s="31"/>
      <c r="C21" s="32"/>
      <c r="D21" s="33"/>
      <c r="E21" s="80"/>
      <c r="F21" s="81"/>
      <c r="G21" s="79" t="s">
        <v>21</v>
      </c>
      <c r="H21" s="82" t="s">
        <v>21</v>
      </c>
      <c r="I21" s="83"/>
      <c r="J21" s="34"/>
    </row>
    <row r="22" spans="1:19" s="35" customFormat="1" ht="18" customHeight="1">
      <c r="A22" s="26"/>
      <c r="B22" s="37" t="s">
        <v>22</v>
      </c>
      <c r="C22" s="38"/>
      <c r="D22" s="38"/>
      <c r="E22" s="45"/>
      <c r="F22" s="46"/>
      <c r="G22" s="85"/>
      <c r="H22" s="47"/>
      <c r="I22" s="48"/>
      <c r="J22" s="35" t="s">
        <v>23</v>
      </c>
      <c r="K22" s="35" t="s">
        <v>24</v>
      </c>
      <c r="L22" s="35" t="s">
        <v>25</v>
      </c>
    </row>
    <row r="23" spans="1:19" s="35" customFormat="1" ht="18" customHeight="1">
      <c r="A23" s="170">
        <v>284</v>
      </c>
      <c r="B23" s="167" t="s">
        <v>26</v>
      </c>
      <c r="C23" s="38"/>
      <c r="D23" s="38"/>
      <c r="E23" s="163">
        <v>6406</v>
      </c>
      <c r="F23" s="171" t="s">
        <v>27</v>
      </c>
      <c r="G23" s="172">
        <v>6406</v>
      </c>
      <c r="H23" s="166">
        <v>6690</v>
      </c>
      <c r="I23" s="48"/>
      <c r="J23" s="49"/>
      <c r="K23" s="49"/>
      <c r="L23" s="49"/>
      <c r="M23" s="142"/>
    </row>
    <row r="24" spans="1:19" s="35" customFormat="1" ht="18" customHeight="1">
      <c r="A24" s="170">
        <v>1</v>
      </c>
      <c r="B24" s="167" t="s">
        <v>28</v>
      </c>
      <c r="C24" s="38"/>
      <c r="D24" s="38"/>
      <c r="E24" s="163">
        <v>5905</v>
      </c>
      <c r="F24" s="171" t="s">
        <v>29</v>
      </c>
      <c r="G24" s="172">
        <v>13</v>
      </c>
      <c r="H24" s="166">
        <v>14</v>
      </c>
      <c r="I24" s="48"/>
      <c r="J24" s="49"/>
      <c r="K24" s="123"/>
      <c r="L24" s="123"/>
      <c r="M24" s="142"/>
    </row>
    <row r="25" spans="1:19" s="35" customFormat="1" ht="18" customHeight="1">
      <c r="A25" s="170">
        <v>3</v>
      </c>
      <c r="B25" s="167" t="s">
        <v>30</v>
      </c>
      <c r="C25" s="38"/>
      <c r="D25" s="38"/>
      <c r="E25" s="163">
        <v>2113</v>
      </c>
      <c r="F25" s="171" t="s">
        <v>31</v>
      </c>
      <c r="G25" s="172">
        <v>28.5</v>
      </c>
      <c r="H25" s="166">
        <v>33</v>
      </c>
      <c r="I25" s="48"/>
      <c r="J25" s="49"/>
      <c r="K25" s="123"/>
      <c r="L25" s="123"/>
      <c r="M25" s="49"/>
      <c r="N25" s="49"/>
      <c r="O25" s="49"/>
      <c r="P25" s="49"/>
      <c r="Q25" s="49"/>
      <c r="R25" s="49"/>
      <c r="S25" s="49"/>
    </row>
    <row r="26" spans="1:19" s="35" customFormat="1" ht="18" customHeight="1">
      <c r="A26" s="170">
        <v>1</v>
      </c>
      <c r="B26" s="167" t="s">
        <v>32</v>
      </c>
      <c r="C26" s="38"/>
      <c r="D26" s="38"/>
      <c r="E26" s="163">
        <v>2113</v>
      </c>
      <c r="F26" s="171" t="s">
        <v>31</v>
      </c>
      <c r="G26" s="172">
        <v>20.5</v>
      </c>
      <c r="H26" s="166">
        <v>22</v>
      </c>
      <c r="I26" s="48"/>
      <c r="J26" s="49"/>
      <c r="K26" s="123"/>
      <c r="L26" s="123"/>
      <c r="M26" s="49"/>
      <c r="N26" s="49"/>
      <c r="O26" s="49"/>
      <c r="P26" s="49"/>
      <c r="Q26" s="49"/>
      <c r="R26" s="49"/>
      <c r="S26" s="49"/>
    </row>
    <row r="27" spans="1:19" s="35" customFormat="1" ht="18" customHeight="1">
      <c r="A27" s="170">
        <v>38</v>
      </c>
      <c r="B27" s="167" t="s">
        <v>33</v>
      </c>
      <c r="C27" s="38"/>
      <c r="D27" s="38"/>
      <c r="E27" s="163">
        <v>2120</v>
      </c>
      <c r="F27" s="171" t="s">
        <v>31</v>
      </c>
      <c r="G27" s="172">
        <v>913</v>
      </c>
      <c r="H27" s="166">
        <v>970</v>
      </c>
      <c r="I27" s="48"/>
      <c r="J27" s="49"/>
      <c r="K27" s="123"/>
      <c r="L27" s="123"/>
      <c r="M27" s="49"/>
      <c r="N27" s="49"/>
      <c r="O27" s="49"/>
      <c r="P27" s="49"/>
      <c r="Q27" s="49"/>
      <c r="R27" s="49"/>
      <c r="S27" s="49"/>
    </row>
    <row r="28" spans="1:19" s="35" customFormat="1" ht="18" customHeight="1">
      <c r="A28" s="170">
        <v>36</v>
      </c>
      <c r="B28" s="167" t="s">
        <v>34</v>
      </c>
      <c r="C28" s="38"/>
      <c r="D28" s="38"/>
      <c r="E28" s="163">
        <v>407</v>
      </c>
      <c r="F28" s="171" t="s">
        <v>35</v>
      </c>
      <c r="G28" s="172">
        <v>1118</v>
      </c>
      <c r="H28" s="166">
        <v>1154</v>
      </c>
      <c r="I28" s="48"/>
      <c r="J28" s="49"/>
      <c r="K28" s="123"/>
      <c r="L28" s="123"/>
      <c r="M28" s="49"/>
      <c r="N28" s="49"/>
      <c r="O28" s="49"/>
      <c r="P28" s="49"/>
      <c r="Q28" s="49"/>
      <c r="R28" s="49"/>
      <c r="S28" s="49"/>
    </row>
    <row r="29" spans="1:19" s="35" customFormat="1" ht="18" customHeight="1">
      <c r="A29" s="170">
        <v>12</v>
      </c>
      <c r="B29" s="167" t="s">
        <v>36</v>
      </c>
      <c r="C29" s="38"/>
      <c r="D29" s="38"/>
      <c r="E29" s="163">
        <v>284</v>
      </c>
      <c r="F29" s="171" t="s">
        <v>27</v>
      </c>
      <c r="G29" s="172">
        <v>284</v>
      </c>
      <c r="H29" s="166">
        <v>296</v>
      </c>
      <c r="I29" s="48"/>
      <c r="J29" s="49"/>
      <c r="K29" s="123"/>
      <c r="L29" s="123"/>
      <c r="M29" s="49"/>
      <c r="N29" s="49"/>
      <c r="O29" s="49"/>
      <c r="P29" s="49"/>
      <c r="Q29" s="49"/>
      <c r="R29" s="49"/>
      <c r="S29" s="49"/>
    </row>
    <row r="30" spans="1:19" s="35" customFormat="1" ht="18" customHeight="1">
      <c r="A30" s="170">
        <v>2</v>
      </c>
      <c r="B30" s="167" t="s">
        <v>37</v>
      </c>
      <c r="C30" s="38"/>
      <c r="D30" s="38"/>
      <c r="E30" s="163">
        <v>1201</v>
      </c>
      <c r="F30" s="171" t="s">
        <v>35</v>
      </c>
      <c r="G30" s="172">
        <v>37</v>
      </c>
      <c r="H30" s="166">
        <v>40</v>
      </c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19" s="35" customFormat="1" ht="18" customHeight="1">
      <c r="A31" s="170">
        <v>4</v>
      </c>
      <c r="B31" s="167" t="s">
        <v>38</v>
      </c>
      <c r="C31" s="38"/>
      <c r="D31" s="38"/>
      <c r="E31" s="163">
        <v>518</v>
      </c>
      <c r="F31" s="171" t="s">
        <v>35</v>
      </c>
      <c r="G31" s="172">
        <v>51</v>
      </c>
      <c r="H31" s="166">
        <v>57</v>
      </c>
      <c r="I31" s="48"/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1:19" s="35" customFormat="1" ht="18" customHeight="1">
      <c r="A32" s="170">
        <v>9</v>
      </c>
      <c r="B32" s="167" t="s">
        <v>39</v>
      </c>
      <c r="C32" s="38"/>
      <c r="D32" s="38"/>
      <c r="E32" s="163">
        <v>141600</v>
      </c>
      <c r="F32" s="171" t="s">
        <v>40</v>
      </c>
      <c r="G32" s="172">
        <v>239.5</v>
      </c>
      <c r="H32" s="166">
        <v>253</v>
      </c>
      <c r="I32" s="48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1:36" s="35" customFormat="1" ht="18" customHeight="1">
      <c r="A33" s="44"/>
      <c r="B33" s="121"/>
      <c r="C33" s="38"/>
      <c r="D33" s="38"/>
      <c r="E33" s="45"/>
      <c r="F33" s="46"/>
      <c r="G33" s="42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36" s="35" customFormat="1" ht="18" customHeight="1">
      <c r="A34" s="44"/>
      <c r="B34" s="121"/>
      <c r="C34" s="38"/>
      <c r="D34" s="38"/>
      <c r="E34" s="45"/>
      <c r="F34" s="46"/>
      <c r="G34" s="42"/>
      <c r="H34" s="47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1:36" s="35" customFormat="1" ht="18" customHeight="1">
      <c r="A35" s="44"/>
      <c r="B35" s="121"/>
      <c r="C35" s="38"/>
      <c r="D35" s="38"/>
      <c r="E35" s="45"/>
      <c r="F35" s="46"/>
      <c r="G35" s="42"/>
      <c r="H35" s="47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1:36" s="35" customFormat="1" ht="18" customHeight="1">
      <c r="A36" s="44"/>
      <c r="B36" s="121"/>
      <c r="C36" s="38"/>
      <c r="D36" s="38"/>
      <c r="E36" s="45"/>
      <c r="F36" s="46"/>
      <c r="G36" s="42"/>
      <c r="H36" s="47"/>
      <c r="I36" s="48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1:36" s="35" customFormat="1" ht="18" customHeight="1">
      <c r="A37" s="44"/>
      <c r="B37" s="121"/>
      <c r="C37" s="38"/>
      <c r="D37" s="38"/>
      <c r="E37" s="45"/>
      <c r="F37" s="46"/>
      <c r="G37" s="42"/>
      <c r="H37" s="47"/>
      <c r="I37" s="48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pans="1:36" s="35" customFormat="1" ht="18" customHeight="1">
      <c r="A38" s="44"/>
      <c r="B38" s="121"/>
      <c r="C38" s="38"/>
      <c r="D38" s="38"/>
      <c r="E38" s="45"/>
      <c r="F38" s="46"/>
      <c r="G38" s="42"/>
      <c r="H38" s="47"/>
      <c r="I38" s="48"/>
      <c r="J38" s="49"/>
      <c r="K38" s="49"/>
      <c r="L38" s="49"/>
      <c r="M38" s="49"/>
      <c r="N38" s="60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</row>
    <row r="39" spans="1:36" s="35" customFormat="1" ht="17.45" customHeight="1" thickBot="1">
      <c r="A39" s="159">
        <f>SUM(A23:A32)</f>
        <v>390</v>
      </c>
      <c r="B39" s="185"/>
      <c r="C39" s="186"/>
      <c r="D39" s="187"/>
      <c r="E39" s="92"/>
      <c r="F39" s="93"/>
      <c r="G39" s="173">
        <f>SUM(G23:G32)</f>
        <v>9110.5</v>
      </c>
      <c r="H39" s="174">
        <f>SUM(H23:H32)</f>
        <v>9529</v>
      </c>
      <c r="I39" s="48"/>
      <c r="J39" s="140"/>
      <c r="K39" s="34"/>
    </row>
    <row r="40" spans="1:36" s="35" customFormat="1" ht="17.45" customHeight="1" thickTop="1">
      <c r="A40" s="97"/>
      <c r="B40" s="98"/>
      <c r="C40" s="99"/>
      <c r="D40" s="100"/>
      <c r="E40" s="101"/>
      <c r="F40" s="102"/>
      <c r="G40" s="103"/>
      <c r="H40" s="104"/>
      <c r="I40" s="48"/>
      <c r="J40" s="34"/>
      <c r="K40" s="34"/>
    </row>
    <row r="41" spans="1:36" s="35" customFormat="1" ht="16.8" customHeight="1">
      <c r="A41" s="108"/>
      <c r="B41" s="1"/>
      <c r="C41" s="1"/>
      <c r="D41" s="1"/>
      <c r="E41" s="1"/>
      <c r="F41" s="59"/>
      <c r="G41" s="103"/>
      <c r="H41" s="109"/>
      <c r="I41" s="110"/>
      <c r="J41" s="32"/>
      <c r="K41" s="58"/>
      <c r="L41" s="32"/>
    </row>
    <row r="42" spans="1:36" s="35" customFormat="1" ht="16.8" customHeight="1">
      <c r="A42" s="63" t="s">
        <v>41</v>
      </c>
      <c r="B42" s="3" t="s">
        <v>42</v>
      </c>
      <c r="C42" s="1"/>
      <c r="D42" s="1"/>
      <c r="E42" s="1"/>
      <c r="F42" s="181" t="s">
        <v>0</v>
      </c>
      <c r="G42" s="182"/>
      <c r="H42" s="183"/>
      <c r="I42" s="110"/>
    </row>
    <row r="43" spans="1:36" s="35" customFormat="1" ht="16.8" customHeight="1">
      <c r="A43" s="113"/>
      <c r="B43" s="3"/>
      <c r="C43" s="1"/>
      <c r="D43" s="1"/>
      <c r="E43" s="1"/>
      <c r="F43" s="111"/>
      <c r="G43" s="114"/>
      <c r="H43" s="112"/>
      <c r="I43" s="110"/>
    </row>
    <row r="44" spans="1:36">
      <c r="A44" s="113"/>
      <c r="F44" s="67"/>
      <c r="G44" s="68"/>
      <c r="H44" s="116"/>
      <c r="I44" s="117"/>
    </row>
    <row r="45" spans="1:36" ht="15.6" customHeight="1">
      <c r="A45" s="113"/>
      <c r="B45" s="64"/>
      <c r="E45" s="67"/>
      <c r="F45" s="67"/>
      <c r="G45" s="67"/>
      <c r="H45" s="118"/>
      <c r="I45" s="117"/>
    </row>
    <row r="46" spans="1:36" ht="15.6" customHeight="1">
      <c r="A46" s="113"/>
      <c r="B46" s="64"/>
      <c r="E46" s="67"/>
      <c r="F46" s="67"/>
      <c r="G46" s="67"/>
      <c r="H46" s="118"/>
      <c r="I46" s="117"/>
    </row>
    <row r="47" spans="1:36" ht="13.8" customHeight="1" thickBot="1">
      <c r="A47" s="131"/>
      <c r="B47" s="127"/>
      <c r="C47" s="127"/>
      <c r="D47" s="127"/>
      <c r="E47" s="132"/>
      <c r="F47" s="132"/>
      <c r="G47" s="132"/>
      <c r="H47" s="133"/>
      <c r="I47" s="117"/>
    </row>
    <row r="48" spans="1:36" ht="13.8" customHeight="1" thickTop="1">
      <c r="A48" s="65"/>
      <c r="E48" s="65"/>
      <c r="F48" s="65"/>
      <c r="G48" s="65"/>
      <c r="H48" s="115"/>
      <c r="I48" s="115"/>
    </row>
    <row r="49" spans="1:9">
      <c r="A49" s="65"/>
      <c r="E49" s="65"/>
      <c r="F49" s="65"/>
      <c r="G49" s="65"/>
      <c r="H49" s="115"/>
      <c r="I49" s="115"/>
    </row>
    <row r="50" spans="1:9">
      <c r="A50" s="65"/>
      <c r="E50" s="65"/>
      <c r="F50" s="65"/>
      <c r="G50" s="65"/>
      <c r="H50" s="115"/>
      <c r="I50" s="115"/>
    </row>
    <row r="51" spans="1:9">
      <c r="A51" s="65"/>
      <c r="E51" s="65"/>
      <c r="F51" s="65"/>
      <c r="G51" s="65"/>
      <c r="H51" s="115"/>
      <c r="I51" s="115"/>
    </row>
    <row r="52" spans="1:9">
      <c r="A52" s="65"/>
    </row>
  </sheetData>
  <mergeCells count="9">
    <mergeCell ref="A1:H1"/>
    <mergeCell ref="B39:D39"/>
    <mergeCell ref="A6:H6"/>
    <mergeCell ref="A4:H4"/>
    <mergeCell ref="A3:H3"/>
    <mergeCell ref="B19:D19"/>
    <mergeCell ref="F42:H42"/>
    <mergeCell ref="A2:H2"/>
    <mergeCell ref="E19:F19"/>
  </mergeCells>
  <printOptions horizontalCentered="1"/>
  <pageMargins left="0.45" right="0.45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</vt:lpstr>
      <vt:lpstr>PL</vt:lpstr>
      <vt:lpstr>INV!Print_Area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 Chandalin</dc:creator>
  <cp:lastModifiedBy>Super Venti</cp:lastModifiedBy>
  <cp:lastPrinted>2021-01-06T01:04:04Z</cp:lastPrinted>
  <dcterms:created xsi:type="dcterms:W3CDTF">2019-09-12T08:10:58Z</dcterms:created>
  <dcterms:modified xsi:type="dcterms:W3CDTF">2026-10-30T01:47:22Z</dcterms:modified>
</cp:coreProperties>
</file>