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7A6B3790-6EF2-4541-B013-EB41821899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Sheet1!$A$1:$J$233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224" i="1" l="1"/>
  <c r="AD224" i="1" s="1"/>
  <c r="AB224" i="1"/>
  <c r="Y224" i="1"/>
  <c r="U224" i="1"/>
  <c r="Q224" i="1"/>
  <c r="M224" i="1"/>
  <c r="AD223" i="1"/>
  <c r="AC223" i="1"/>
  <c r="AB223" i="1"/>
  <c r="Y223" i="1"/>
  <c r="U223" i="1"/>
  <c r="Q223" i="1"/>
  <c r="M223" i="1"/>
  <c r="AC222" i="1"/>
  <c r="AD222" i="1" s="1"/>
  <c r="AB222" i="1"/>
  <c r="Y222" i="1"/>
  <c r="U222" i="1"/>
  <c r="Q222" i="1"/>
  <c r="M222" i="1"/>
  <c r="AC221" i="1"/>
  <c r="AD221" i="1" s="1"/>
  <c r="AB221" i="1"/>
  <c r="Y221" i="1"/>
  <c r="U221" i="1"/>
  <c r="Q221" i="1"/>
  <c r="M221" i="1"/>
  <c r="AD220" i="1"/>
  <c r="AC220" i="1"/>
  <c r="AB220" i="1"/>
  <c r="Y220" i="1"/>
  <c r="U220" i="1"/>
  <c r="Q220" i="1"/>
  <c r="M220" i="1"/>
  <c r="AC219" i="1"/>
  <c r="AD219" i="1" s="1"/>
  <c r="AB219" i="1"/>
  <c r="Y219" i="1"/>
  <c r="U219" i="1"/>
  <c r="Q219" i="1"/>
  <c r="M219" i="1"/>
  <c r="AC218" i="1"/>
  <c r="AD218" i="1" s="1"/>
  <c r="AB218" i="1"/>
  <c r="Y218" i="1"/>
  <c r="U218" i="1"/>
  <c r="Q218" i="1"/>
  <c r="M218" i="1"/>
  <c r="AD217" i="1"/>
  <c r="AC217" i="1"/>
  <c r="AB217" i="1"/>
  <c r="Y217" i="1"/>
  <c r="U217" i="1"/>
  <c r="Q217" i="1"/>
  <c r="M217" i="1"/>
  <c r="AD216" i="1"/>
  <c r="AC216" i="1"/>
  <c r="AB216" i="1"/>
  <c r="Y216" i="1"/>
  <c r="U216" i="1"/>
  <c r="Q216" i="1"/>
  <c r="M216" i="1"/>
  <c r="AD215" i="1"/>
  <c r="AC215" i="1"/>
  <c r="AB215" i="1"/>
  <c r="Y215" i="1"/>
  <c r="U215" i="1"/>
  <c r="Q215" i="1"/>
  <c r="M215" i="1"/>
  <c r="AC214" i="1"/>
  <c r="AD214" i="1" s="1"/>
  <c r="AB214" i="1"/>
  <c r="Y214" i="1"/>
  <c r="U214" i="1"/>
  <c r="Q214" i="1"/>
  <c r="M214" i="1"/>
  <c r="AD213" i="1"/>
  <c r="AC213" i="1"/>
  <c r="AB213" i="1"/>
  <c r="Y213" i="1"/>
  <c r="U213" i="1"/>
  <c r="Q213" i="1"/>
  <c r="M213" i="1"/>
  <c r="AD212" i="1"/>
  <c r="AC212" i="1"/>
  <c r="AB212" i="1"/>
  <c r="Y212" i="1"/>
  <c r="U212" i="1"/>
  <c r="Q212" i="1"/>
  <c r="M212" i="1"/>
  <c r="AC211" i="1"/>
  <c r="AD211" i="1" s="1"/>
  <c r="AB211" i="1"/>
  <c r="Y211" i="1"/>
  <c r="U211" i="1"/>
  <c r="Q211" i="1"/>
  <c r="M211" i="1"/>
  <c r="AC210" i="1"/>
  <c r="AD210" i="1" s="1"/>
  <c r="AB210" i="1"/>
  <c r="Y210" i="1"/>
  <c r="U210" i="1"/>
  <c r="Q210" i="1"/>
  <c r="M210" i="1"/>
  <c r="AD209" i="1"/>
  <c r="AC209" i="1"/>
  <c r="AB209" i="1"/>
  <c r="Y209" i="1"/>
  <c r="U209" i="1"/>
  <c r="Q209" i="1"/>
  <c r="M209" i="1"/>
  <c r="AC208" i="1"/>
  <c r="AD208" i="1" s="1"/>
  <c r="AB208" i="1"/>
  <c r="Y208" i="1"/>
  <c r="U208" i="1"/>
  <c r="Q208" i="1"/>
  <c r="M208" i="1"/>
  <c r="AD207" i="1"/>
  <c r="AC207" i="1"/>
  <c r="AB207" i="1"/>
  <c r="Y207" i="1"/>
  <c r="U207" i="1"/>
  <c r="Q207" i="1"/>
  <c r="M207" i="1"/>
  <c r="AC206" i="1"/>
  <c r="AD206" i="1" s="1"/>
  <c r="AB206" i="1"/>
  <c r="Y206" i="1"/>
  <c r="U206" i="1"/>
  <c r="Q206" i="1"/>
  <c r="M206" i="1"/>
  <c r="AD205" i="1"/>
  <c r="AC205" i="1"/>
  <c r="AB205" i="1"/>
  <c r="Y205" i="1"/>
  <c r="U205" i="1"/>
  <c r="Q205" i="1"/>
  <c r="M205" i="1"/>
  <c r="AC204" i="1"/>
  <c r="AD204" i="1" s="1"/>
  <c r="AB204" i="1"/>
  <c r="Y204" i="1"/>
  <c r="U204" i="1"/>
  <c r="Q204" i="1"/>
  <c r="M204" i="1"/>
  <c r="AC203" i="1"/>
  <c r="AD203" i="1" s="1"/>
  <c r="AB203" i="1"/>
  <c r="Y203" i="1"/>
  <c r="U203" i="1"/>
  <c r="Q203" i="1"/>
  <c r="M203" i="1"/>
  <c r="AC202" i="1"/>
  <c r="AD202" i="1" s="1"/>
  <c r="AB202" i="1"/>
  <c r="Y202" i="1"/>
  <c r="U202" i="1"/>
  <c r="Q202" i="1"/>
  <c r="M202" i="1"/>
  <c r="AD201" i="1"/>
  <c r="AC201" i="1"/>
  <c r="AB201" i="1"/>
  <c r="Y201" i="1"/>
  <c r="U201" i="1"/>
  <c r="Q201" i="1"/>
  <c r="M201" i="1"/>
  <c r="AC200" i="1"/>
  <c r="AD200" i="1" s="1"/>
  <c r="AB200" i="1"/>
  <c r="Y200" i="1"/>
  <c r="U200" i="1"/>
  <c r="Q200" i="1"/>
  <c r="M200" i="1"/>
  <c r="AD199" i="1"/>
  <c r="AC199" i="1"/>
  <c r="AB199" i="1"/>
  <c r="Y199" i="1"/>
  <c r="U199" i="1"/>
  <c r="Q199" i="1"/>
  <c r="M199" i="1"/>
  <c r="AC198" i="1"/>
  <c r="AD198" i="1" s="1"/>
  <c r="AB198" i="1"/>
  <c r="Y198" i="1"/>
  <c r="U198" i="1"/>
  <c r="Q198" i="1"/>
  <c r="M198" i="1"/>
  <c r="AD197" i="1"/>
  <c r="AC197" i="1"/>
  <c r="AB197" i="1"/>
  <c r="Y197" i="1"/>
  <c r="U197" i="1"/>
  <c r="Q197" i="1"/>
  <c r="M197" i="1"/>
  <c r="AC196" i="1"/>
  <c r="AD196" i="1" s="1"/>
  <c r="AB196" i="1"/>
  <c r="Y196" i="1"/>
  <c r="U196" i="1"/>
  <c r="Q196" i="1"/>
  <c r="M196" i="1"/>
  <c r="AC195" i="1"/>
  <c r="AD195" i="1" s="1"/>
  <c r="AB195" i="1"/>
  <c r="Y195" i="1"/>
  <c r="U195" i="1"/>
  <c r="Q195" i="1"/>
  <c r="M195" i="1"/>
  <c r="AC194" i="1"/>
  <c r="AD194" i="1" s="1"/>
  <c r="AB194" i="1"/>
  <c r="Y194" i="1"/>
  <c r="U194" i="1"/>
  <c r="Q194" i="1"/>
  <c r="M194" i="1"/>
  <c r="AD193" i="1"/>
  <c r="AC193" i="1"/>
  <c r="AB193" i="1"/>
  <c r="Y193" i="1"/>
  <c r="U193" i="1"/>
  <c r="Q193" i="1"/>
  <c r="M193" i="1"/>
  <c r="AC192" i="1"/>
  <c r="AD192" i="1" s="1"/>
  <c r="AB192" i="1"/>
  <c r="Y192" i="1"/>
  <c r="U192" i="1"/>
  <c r="Q192" i="1"/>
  <c r="M192" i="1"/>
  <c r="AD191" i="1"/>
  <c r="AC191" i="1"/>
  <c r="AB191" i="1"/>
  <c r="Y191" i="1"/>
  <c r="U191" i="1"/>
  <c r="Q191" i="1"/>
  <c r="M191" i="1"/>
  <c r="AC190" i="1"/>
  <c r="AD190" i="1" s="1"/>
  <c r="AB190" i="1"/>
  <c r="Y190" i="1"/>
  <c r="U190" i="1"/>
  <c r="Q190" i="1"/>
  <c r="M190" i="1"/>
  <c r="AD189" i="1"/>
  <c r="AC189" i="1"/>
  <c r="AB189" i="1"/>
  <c r="Y189" i="1"/>
  <c r="U189" i="1"/>
  <c r="Q189" i="1"/>
  <c r="M189" i="1"/>
  <c r="AC188" i="1"/>
  <c r="AD188" i="1" s="1"/>
  <c r="AB188" i="1"/>
  <c r="Y188" i="1"/>
  <c r="U188" i="1"/>
  <c r="Q188" i="1"/>
  <c r="M188" i="1"/>
  <c r="AC187" i="1"/>
  <c r="AD187" i="1" s="1"/>
  <c r="AB187" i="1"/>
  <c r="Y187" i="1"/>
  <c r="U187" i="1"/>
  <c r="Q187" i="1"/>
  <c r="M187" i="1"/>
  <c r="AC186" i="1"/>
  <c r="AD186" i="1" s="1"/>
  <c r="AB186" i="1"/>
  <c r="Y186" i="1"/>
  <c r="U186" i="1"/>
  <c r="Q186" i="1"/>
  <c r="M186" i="1"/>
  <c r="AD185" i="1"/>
  <c r="AC185" i="1"/>
  <c r="AB185" i="1"/>
  <c r="Y185" i="1"/>
  <c r="U185" i="1"/>
  <c r="Q185" i="1"/>
  <c r="M185" i="1"/>
  <c r="AC184" i="1"/>
  <c r="AD184" i="1" s="1"/>
  <c r="AB184" i="1"/>
  <c r="Y184" i="1"/>
  <c r="U184" i="1"/>
  <c r="Q184" i="1"/>
  <c r="M184" i="1"/>
  <c r="AD183" i="1"/>
  <c r="AC183" i="1"/>
  <c r="AB183" i="1"/>
  <c r="Y183" i="1"/>
  <c r="U183" i="1"/>
  <c r="Q183" i="1"/>
  <c r="M183" i="1"/>
  <c r="AC182" i="1"/>
  <c r="AD182" i="1" s="1"/>
  <c r="AB182" i="1"/>
  <c r="Y182" i="1"/>
  <c r="U182" i="1"/>
  <c r="Q182" i="1"/>
  <c r="M182" i="1"/>
  <c r="AD181" i="1"/>
  <c r="AC181" i="1"/>
  <c r="AB181" i="1"/>
  <c r="Y181" i="1"/>
  <c r="U181" i="1"/>
  <c r="Q181" i="1"/>
  <c r="M181" i="1"/>
  <c r="AC180" i="1"/>
  <c r="AD180" i="1" s="1"/>
  <c r="AB180" i="1"/>
  <c r="Y180" i="1"/>
  <c r="U180" i="1"/>
  <c r="Q180" i="1"/>
  <c r="M180" i="1"/>
  <c r="AC179" i="1"/>
  <c r="AD179" i="1" s="1"/>
  <c r="AB179" i="1"/>
  <c r="Y179" i="1"/>
  <c r="U179" i="1"/>
  <c r="Q179" i="1"/>
  <c r="M179" i="1"/>
  <c r="AC178" i="1"/>
  <c r="AD178" i="1" s="1"/>
  <c r="AB178" i="1"/>
  <c r="Y178" i="1"/>
  <c r="U178" i="1"/>
  <c r="Q178" i="1"/>
  <c r="M178" i="1"/>
  <c r="AD177" i="1"/>
  <c r="AC177" i="1"/>
  <c r="AB177" i="1"/>
  <c r="Y177" i="1"/>
  <c r="U177" i="1"/>
  <c r="Q177" i="1"/>
  <c r="M177" i="1"/>
  <c r="AC176" i="1"/>
  <c r="AD176" i="1" s="1"/>
  <c r="AB176" i="1"/>
  <c r="Y176" i="1"/>
  <c r="U176" i="1"/>
  <c r="Q176" i="1"/>
  <c r="M176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A102" i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C175" i="1"/>
  <c r="AD175" i="1" s="1"/>
  <c r="AB175" i="1"/>
  <c r="Y175" i="1"/>
  <c r="U175" i="1"/>
  <c r="Q175" i="1"/>
  <c r="M175" i="1"/>
  <c r="AC174" i="1"/>
  <c r="AD174" i="1" s="1"/>
  <c r="AB174" i="1"/>
  <c r="Y174" i="1"/>
  <c r="U174" i="1"/>
  <c r="Q174" i="1"/>
  <c r="M174" i="1"/>
  <c r="AC173" i="1"/>
  <c r="AD173" i="1" s="1"/>
  <c r="AB173" i="1"/>
  <c r="Y173" i="1"/>
  <c r="U173" i="1"/>
  <c r="Q173" i="1"/>
  <c r="M173" i="1"/>
  <c r="AC172" i="1"/>
  <c r="AD172" i="1" s="1"/>
  <c r="AB172" i="1"/>
  <c r="Y172" i="1"/>
  <c r="U172" i="1"/>
  <c r="Q172" i="1"/>
  <c r="M172" i="1"/>
  <c r="AC171" i="1"/>
  <c r="AD171" i="1" s="1"/>
  <c r="AB171" i="1"/>
  <c r="Y171" i="1"/>
  <c r="U171" i="1"/>
  <c r="Q171" i="1"/>
  <c r="M171" i="1"/>
  <c r="AC170" i="1"/>
  <c r="AD170" i="1" s="1"/>
  <c r="AB170" i="1"/>
  <c r="Y170" i="1"/>
  <c r="U170" i="1"/>
  <c r="Q170" i="1"/>
  <c r="M170" i="1"/>
  <c r="AC169" i="1"/>
  <c r="AD169" i="1" s="1"/>
  <c r="AB169" i="1"/>
  <c r="Y169" i="1"/>
  <c r="U169" i="1"/>
  <c r="Q169" i="1"/>
  <c r="M169" i="1"/>
  <c r="AC168" i="1"/>
  <c r="AD168" i="1" s="1"/>
  <c r="AB168" i="1"/>
  <c r="Y168" i="1"/>
  <c r="U168" i="1"/>
  <c r="Q168" i="1"/>
  <c r="M168" i="1"/>
  <c r="AC167" i="1"/>
  <c r="AD167" i="1" s="1"/>
  <c r="AB167" i="1"/>
  <c r="Y167" i="1"/>
  <c r="U167" i="1"/>
  <c r="Q167" i="1"/>
  <c r="M167" i="1"/>
  <c r="AC166" i="1"/>
  <c r="AD166" i="1" s="1"/>
  <c r="AB166" i="1"/>
  <c r="Y166" i="1"/>
  <c r="U166" i="1"/>
  <c r="Q166" i="1"/>
  <c r="M166" i="1"/>
  <c r="AC165" i="1"/>
  <c r="AD165" i="1" s="1"/>
  <c r="AB165" i="1"/>
  <c r="Y165" i="1"/>
  <c r="U165" i="1"/>
  <c r="Q165" i="1"/>
  <c r="M165" i="1"/>
  <c r="AC164" i="1"/>
  <c r="AD164" i="1" s="1"/>
  <c r="AB164" i="1"/>
  <c r="Y164" i="1"/>
  <c r="U164" i="1"/>
  <c r="Q164" i="1"/>
  <c r="M164" i="1"/>
  <c r="AC163" i="1"/>
  <c r="AD163" i="1" s="1"/>
  <c r="AB163" i="1"/>
  <c r="Y163" i="1"/>
  <c r="U163" i="1"/>
  <c r="Q163" i="1"/>
  <c r="M163" i="1"/>
  <c r="AC162" i="1"/>
  <c r="AD162" i="1" s="1"/>
  <c r="AB162" i="1"/>
  <c r="Y162" i="1"/>
  <c r="U162" i="1"/>
  <c r="Q162" i="1"/>
  <c r="M162" i="1"/>
  <c r="AC161" i="1"/>
  <c r="AD161" i="1" s="1"/>
  <c r="AB161" i="1"/>
  <c r="Y161" i="1"/>
  <c r="U161" i="1"/>
  <c r="Q161" i="1"/>
  <c r="M161" i="1"/>
  <c r="AC160" i="1"/>
  <c r="AD160" i="1" s="1"/>
  <c r="AB160" i="1"/>
  <c r="Y160" i="1"/>
  <c r="U160" i="1"/>
  <c r="Q160" i="1"/>
  <c r="M160" i="1"/>
  <c r="AC159" i="1"/>
  <c r="AD159" i="1" s="1"/>
  <c r="AB159" i="1"/>
  <c r="Y159" i="1"/>
  <c r="U159" i="1"/>
  <c r="Q159" i="1"/>
  <c r="M159" i="1"/>
  <c r="AC158" i="1"/>
  <c r="AD158" i="1" s="1"/>
  <c r="AB158" i="1"/>
  <c r="Y158" i="1"/>
  <c r="U158" i="1"/>
  <c r="Q158" i="1"/>
  <c r="M158" i="1"/>
  <c r="AC157" i="1"/>
  <c r="AD157" i="1" s="1"/>
  <c r="AB157" i="1"/>
  <c r="Y157" i="1"/>
  <c r="U157" i="1"/>
  <c r="Q157" i="1"/>
  <c r="M157" i="1"/>
  <c r="AC156" i="1"/>
  <c r="AD156" i="1" s="1"/>
  <c r="AB156" i="1"/>
  <c r="Y156" i="1"/>
  <c r="U156" i="1"/>
  <c r="Q156" i="1"/>
  <c r="M156" i="1"/>
  <c r="AC155" i="1"/>
  <c r="AD155" i="1" s="1"/>
  <c r="AB155" i="1"/>
  <c r="Y155" i="1"/>
  <c r="U155" i="1"/>
  <c r="Q155" i="1"/>
  <c r="M155" i="1"/>
  <c r="AC154" i="1"/>
  <c r="AD154" i="1" s="1"/>
  <c r="AB154" i="1"/>
  <c r="Y154" i="1"/>
  <c r="U154" i="1"/>
  <c r="Q154" i="1"/>
  <c r="M154" i="1"/>
  <c r="AC153" i="1"/>
  <c r="AD153" i="1" s="1"/>
  <c r="AB153" i="1"/>
  <c r="Y153" i="1"/>
  <c r="U153" i="1"/>
  <c r="Q153" i="1"/>
  <c r="M153" i="1"/>
  <c r="AC152" i="1"/>
  <c r="AD152" i="1" s="1"/>
  <c r="AB152" i="1"/>
  <c r="Y152" i="1"/>
  <c r="U152" i="1"/>
  <c r="Q152" i="1"/>
  <c r="M152" i="1"/>
  <c r="AC151" i="1"/>
  <c r="AD151" i="1" s="1"/>
  <c r="AB151" i="1"/>
  <c r="Y151" i="1"/>
  <c r="U151" i="1"/>
  <c r="Q151" i="1"/>
  <c r="M151" i="1"/>
  <c r="AC150" i="1"/>
  <c r="AD150" i="1" s="1"/>
  <c r="AB150" i="1"/>
  <c r="Y150" i="1"/>
  <c r="U150" i="1"/>
  <c r="Q150" i="1"/>
  <c r="M150" i="1"/>
  <c r="AC149" i="1"/>
  <c r="AD149" i="1" s="1"/>
  <c r="AB149" i="1"/>
  <c r="Y149" i="1"/>
  <c r="U149" i="1"/>
  <c r="Q149" i="1"/>
  <c r="M149" i="1"/>
  <c r="AC148" i="1"/>
  <c r="AD148" i="1" s="1"/>
  <c r="AB148" i="1"/>
  <c r="Y148" i="1"/>
  <c r="U148" i="1"/>
  <c r="Q148" i="1"/>
  <c r="M148" i="1"/>
  <c r="AC147" i="1"/>
  <c r="AD147" i="1" s="1"/>
  <c r="AB147" i="1"/>
  <c r="Y147" i="1"/>
  <c r="U147" i="1"/>
  <c r="Q147" i="1"/>
  <c r="M147" i="1"/>
  <c r="AC146" i="1"/>
  <c r="AD146" i="1" s="1"/>
  <c r="AB146" i="1"/>
  <c r="Y146" i="1"/>
  <c r="U146" i="1"/>
  <c r="Q146" i="1"/>
  <c r="M146" i="1"/>
  <c r="AC145" i="1"/>
  <c r="AD145" i="1" s="1"/>
  <c r="AB145" i="1"/>
  <c r="Y145" i="1"/>
  <c r="U145" i="1"/>
  <c r="Q145" i="1"/>
  <c r="M145" i="1"/>
  <c r="AC144" i="1"/>
  <c r="AD144" i="1" s="1"/>
  <c r="AB144" i="1"/>
  <c r="Y144" i="1"/>
  <c r="U144" i="1"/>
  <c r="Q144" i="1"/>
  <c r="M144" i="1"/>
  <c r="AC143" i="1"/>
  <c r="AD143" i="1" s="1"/>
  <c r="AB143" i="1"/>
  <c r="Y143" i="1"/>
  <c r="U143" i="1"/>
  <c r="Q143" i="1"/>
  <c r="M143" i="1"/>
  <c r="AC142" i="1"/>
  <c r="AD142" i="1" s="1"/>
  <c r="AB142" i="1"/>
  <c r="Y142" i="1"/>
  <c r="U142" i="1"/>
  <c r="Q142" i="1"/>
  <c r="M142" i="1"/>
  <c r="AC141" i="1"/>
  <c r="AD141" i="1" s="1"/>
  <c r="AB141" i="1"/>
  <c r="Y141" i="1"/>
  <c r="U141" i="1"/>
  <c r="Q141" i="1"/>
  <c r="M141" i="1"/>
  <c r="AC140" i="1"/>
  <c r="AD140" i="1" s="1"/>
  <c r="AB140" i="1"/>
  <c r="Y140" i="1"/>
  <c r="U140" i="1"/>
  <c r="Q140" i="1"/>
  <c r="M140" i="1"/>
  <c r="AC139" i="1"/>
  <c r="AD139" i="1" s="1"/>
  <c r="AB139" i="1"/>
  <c r="Y139" i="1"/>
  <c r="U139" i="1"/>
  <c r="Q139" i="1"/>
  <c r="M139" i="1"/>
  <c r="AC138" i="1"/>
  <c r="AD138" i="1" s="1"/>
  <c r="AB138" i="1"/>
  <c r="Y138" i="1"/>
  <c r="U138" i="1"/>
  <c r="Q138" i="1"/>
  <c r="M138" i="1"/>
  <c r="AC137" i="1"/>
  <c r="AD137" i="1" s="1"/>
  <c r="AB137" i="1"/>
  <c r="Y137" i="1"/>
  <c r="U137" i="1"/>
  <c r="Q137" i="1"/>
  <c r="M137" i="1"/>
  <c r="AC136" i="1"/>
  <c r="AD136" i="1" s="1"/>
  <c r="AB136" i="1"/>
  <c r="Y136" i="1"/>
  <c r="U136" i="1"/>
  <c r="Q136" i="1"/>
  <c r="M136" i="1"/>
  <c r="AC135" i="1"/>
  <c r="AD135" i="1" s="1"/>
  <c r="AB135" i="1"/>
  <c r="Y135" i="1"/>
  <c r="U135" i="1"/>
  <c r="Q135" i="1"/>
  <c r="M135" i="1"/>
  <c r="AC134" i="1"/>
  <c r="AD134" i="1" s="1"/>
  <c r="AB134" i="1"/>
  <c r="Y134" i="1"/>
  <c r="U134" i="1"/>
  <c r="Q134" i="1"/>
  <c r="M134" i="1"/>
  <c r="AC133" i="1"/>
  <c r="AD133" i="1" s="1"/>
  <c r="AB133" i="1"/>
  <c r="Y133" i="1"/>
  <c r="U133" i="1"/>
  <c r="Q133" i="1"/>
  <c r="M133" i="1"/>
  <c r="AC132" i="1"/>
  <c r="AD132" i="1" s="1"/>
  <c r="AB132" i="1"/>
  <c r="Y132" i="1"/>
  <c r="U132" i="1"/>
  <c r="Q132" i="1"/>
  <c r="M132" i="1"/>
  <c r="AC131" i="1"/>
  <c r="AD131" i="1" s="1"/>
  <c r="AB131" i="1"/>
  <c r="Y131" i="1"/>
  <c r="U131" i="1"/>
  <c r="Q131" i="1"/>
  <c r="M131" i="1"/>
  <c r="AC130" i="1"/>
  <c r="AD130" i="1" s="1"/>
  <c r="AB130" i="1"/>
  <c r="Y130" i="1"/>
  <c r="U130" i="1"/>
  <c r="Q130" i="1"/>
  <c r="M130" i="1"/>
  <c r="AC129" i="1"/>
  <c r="AD129" i="1" s="1"/>
  <c r="AB129" i="1"/>
  <c r="Y129" i="1"/>
  <c r="U129" i="1"/>
  <c r="Q129" i="1"/>
  <c r="M129" i="1"/>
  <c r="AC128" i="1"/>
  <c r="AD128" i="1" s="1"/>
  <c r="AB128" i="1"/>
  <c r="Y128" i="1"/>
  <c r="U128" i="1"/>
  <c r="Q128" i="1"/>
  <c r="M128" i="1"/>
  <c r="AC127" i="1"/>
  <c r="AD127" i="1" s="1"/>
  <c r="AB127" i="1"/>
  <c r="Y127" i="1"/>
  <c r="U127" i="1"/>
  <c r="Q127" i="1"/>
  <c r="M127" i="1"/>
  <c r="AC126" i="1"/>
  <c r="AD126" i="1" s="1"/>
  <c r="AB126" i="1"/>
  <c r="Y126" i="1"/>
  <c r="U126" i="1"/>
  <c r="Q126" i="1"/>
  <c r="M126" i="1"/>
  <c r="AC125" i="1"/>
  <c r="AD125" i="1" s="1"/>
  <c r="AB125" i="1"/>
  <c r="Y125" i="1"/>
  <c r="U125" i="1"/>
  <c r="Q125" i="1"/>
  <c r="M125" i="1"/>
  <c r="AC124" i="1"/>
  <c r="AD124" i="1" s="1"/>
  <c r="AB124" i="1"/>
  <c r="Y124" i="1"/>
  <c r="U124" i="1"/>
  <c r="Q124" i="1"/>
  <c r="M124" i="1"/>
  <c r="AD123" i="1"/>
  <c r="AC123" i="1"/>
  <c r="AB123" i="1"/>
  <c r="Y123" i="1"/>
  <c r="U123" i="1"/>
  <c r="Q123" i="1"/>
  <c r="M123" i="1"/>
  <c r="AC122" i="1"/>
  <c r="AD122" i="1" s="1"/>
  <c r="AB122" i="1"/>
  <c r="Y122" i="1"/>
  <c r="U122" i="1"/>
  <c r="Q122" i="1"/>
  <c r="M122" i="1"/>
  <c r="AC121" i="1"/>
  <c r="AD121" i="1" s="1"/>
  <c r="AB121" i="1"/>
  <c r="Y121" i="1"/>
  <c r="U121" i="1"/>
  <c r="Q121" i="1"/>
  <c r="M121" i="1"/>
  <c r="AC120" i="1"/>
  <c r="AD120" i="1" s="1"/>
  <c r="AB120" i="1"/>
  <c r="Y120" i="1"/>
  <c r="U120" i="1"/>
  <c r="Q120" i="1"/>
  <c r="M120" i="1"/>
  <c r="AC119" i="1"/>
  <c r="AD119" i="1" s="1"/>
  <c r="AB119" i="1"/>
  <c r="Y119" i="1"/>
  <c r="U119" i="1"/>
  <c r="Q119" i="1"/>
  <c r="M119" i="1"/>
  <c r="AC118" i="1"/>
  <c r="AD118" i="1" s="1"/>
  <c r="AB118" i="1"/>
  <c r="Y118" i="1"/>
  <c r="U118" i="1"/>
  <c r="Q118" i="1"/>
  <c r="M118" i="1"/>
  <c r="AC117" i="1"/>
  <c r="AD117" i="1" s="1"/>
  <c r="AB117" i="1"/>
  <c r="Y117" i="1"/>
  <c r="U117" i="1"/>
  <c r="Q117" i="1"/>
  <c r="M117" i="1"/>
  <c r="AC116" i="1"/>
  <c r="AD116" i="1" s="1"/>
  <c r="AB116" i="1"/>
  <c r="Y116" i="1"/>
  <c r="U116" i="1"/>
  <c r="Q116" i="1"/>
  <c r="M116" i="1"/>
  <c r="AC115" i="1"/>
  <c r="AD115" i="1" s="1"/>
  <c r="AB115" i="1"/>
  <c r="Y115" i="1"/>
  <c r="U115" i="1"/>
  <c r="Q115" i="1"/>
  <c r="M115" i="1"/>
  <c r="AC114" i="1"/>
  <c r="AD114" i="1" s="1"/>
  <c r="AB114" i="1"/>
  <c r="Y114" i="1"/>
  <c r="U114" i="1"/>
  <c r="Q114" i="1"/>
  <c r="M114" i="1"/>
  <c r="AC113" i="1"/>
  <c r="AD113" i="1" s="1"/>
  <c r="AB113" i="1"/>
  <c r="Y113" i="1"/>
  <c r="U113" i="1"/>
  <c r="Q113" i="1"/>
  <c r="M113" i="1"/>
  <c r="AC112" i="1"/>
  <c r="AD112" i="1" s="1"/>
  <c r="AB112" i="1"/>
  <c r="Y112" i="1"/>
  <c r="U112" i="1"/>
  <c r="Q112" i="1"/>
  <c r="M112" i="1"/>
  <c r="AC111" i="1"/>
  <c r="AD111" i="1" s="1"/>
  <c r="AB111" i="1"/>
  <c r="Y111" i="1"/>
  <c r="U111" i="1"/>
  <c r="Q111" i="1"/>
  <c r="M111" i="1"/>
  <c r="AC110" i="1"/>
  <c r="AD110" i="1" s="1"/>
  <c r="AB110" i="1"/>
  <c r="Y110" i="1"/>
  <c r="U110" i="1"/>
  <c r="Q110" i="1"/>
  <c r="M110" i="1"/>
  <c r="AC109" i="1"/>
  <c r="AD109" i="1" s="1"/>
  <c r="AB109" i="1"/>
  <c r="Y109" i="1"/>
  <c r="U109" i="1"/>
  <c r="Q109" i="1"/>
  <c r="M109" i="1"/>
  <c r="AC108" i="1"/>
  <c r="AD108" i="1" s="1"/>
  <c r="AB108" i="1"/>
  <c r="Y108" i="1"/>
  <c r="U108" i="1"/>
  <c r="Q108" i="1"/>
  <c r="M108" i="1"/>
  <c r="AC107" i="1"/>
  <c r="AD107" i="1" s="1"/>
  <c r="AB107" i="1"/>
  <c r="Y107" i="1"/>
  <c r="U107" i="1"/>
  <c r="Q107" i="1"/>
  <c r="M107" i="1"/>
  <c r="AC106" i="1"/>
  <c r="AD106" i="1" s="1"/>
  <c r="AB106" i="1"/>
  <c r="Y106" i="1"/>
  <c r="U106" i="1"/>
  <c r="Q106" i="1"/>
  <c r="M106" i="1"/>
  <c r="AC86" i="1"/>
  <c r="AD86" i="1" s="1"/>
  <c r="AB86" i="1"/>
  <c r="Y86" i="1"/>
  <c r="U86" i="1"/>
  <c r="Q86" i="1"/>
  <c r="M86" i="1"/>
  <c r="AC85" i="1"/>
  <c r="AD85" i="1" s="1"/>
  <c r="AB85" i="1"/>
  <c r="Y85" i="1"/>
  <c r="U85" i="1"/>
  <c r="Q85" i="1"/>
  <c r="M85" i="1"/>
  <c r="AC84" i="1"/>
  <c r="AD84" i="1" s="1"/>
  <c r="AB84" i="1"/>
  <c r="Y84" i="1"/>
  <c r="U84" i="1"/>
  <c r="Q84" i="1"/>
  <c r="M84" i="1"/>
  <c r="AC83" i="1"/>
  <c r="AD83" i="1" s="1"/>
  <c r="AB83" i="1"/>
  <c r="Y83" i="1"/>
  <c r="U83" i="1"/>
  <c r="Q83" i="1"/>
  <c r="M83" i="1"/>
  <c r="AC82" i="1"/>
  <c r="AD82" i="1" s="1"/>
  <c r="AB82" i="1"/>
  <c r="Y82" i="1"/>
  <c r="U82" i="1"/>
  <c r="Q82" i="1"/>
  <c r="M82" i="1"/>
  <c r="AC81" i="1"/>
  <c r="AD81" i="1" s="1"/>
  <c r="AB81" i="1"/>
  <c r="Y81" i="1"/>
  <c r="U81" i="1"/>
  <c r="Q81" i="1"/>
  <c r="M81" i="1"/>
  <c r="AC80" i="1"/>
  <c r="AD80" i="1" s="1"/>
  <c r="AB80" i="1"/>
  <c r="Y80" i="1"/>
  <c r="U80" i="1"/>
  <c r="Q80" i="1"/>
  <c r="M80" i="1"/>
  <c r="AC79" i="1"/>
  <c r="AD79" i="1" s="1"/>
  <c r="AB79" i="1"/>
  <c r="Y79" i="1"/>
  <c r="U79" i="1"/>
  <c r="Q79" i="1"/>
  <c r="M79" i="1"/>
  <c r="AC78" i="1"/>
  <c r="AD78" i="1" s="1"/>
  <c r="AB78" i="1"/>
  <c r="Y78" i="1"/>
  <c r="U78" i="1"/>
  <c r="Q78" i="1"/>
  <c r="M78" i="1"/>
  <c r="AC77" i="1"/>
  <c r="AD77" i="1" s="1"/>
  <c r="AB77" i="1"/>
  <c r="Y77" i="1"/>
  <c r="U77" i="1"/>
  <c r="Q77" i="1"/>
  <c r="M77" i="1"/>
  <c r="AC76" i="1"/>
  <c r="AD76" i="1" s="1"/>
  <c r="AB76" i="1"/>
  <c r="Y76" i="1"/>
  <c r="U76" i="1"/>
  <c r="Q76" i="1"/>
  <c r="M76" i="1"/>
  <c r="AC75" i="1"/>
  <c r="AD75" i="1" s="1"/>
  <c r="AB75" i="1"/>
  <c r="Y75" i="1"/>
  <c r="U75" i="1"/>
  <c r="Q75" i="1"/>
  <c r="M75" i="1"/>
  <c r="AC74" i="1"/>
  <c r="AD74" i="1" s="1"/>
  <c r="AB74" i="1"/>
  <c r="Y74" i="1"/>
  <c r="U74" i="1"/>
  <c r="Q74" i="1"/>
  <c r="M74" i="1"/>
  <c r="AC73" i="1"/>
  <c r="AD73" i="1" s="1"/>
  <c r="AB73" i="1"/>
  <c r="Y73" i="1"/>
  <c r="U73" i="1"/>
  <c r="Q73" i="1"/>
  <c r="M73" i="1"/>
  <c r="AC72" i="1"/>
  <c r="AD72" i="1" s="1"/>
  <c r="AB72" i="1"/>
  <c r="Y72" i="1"/>
  <c r="U72" i="1"/>
  <c r="Q72" i="1"/>
  <c r="M72" i="1"/>
  <c r="AC71" i="1"/>
  <c r="AD71" i="1" s="1"/>
  <c r="AB71" i="1"/>
  <c r="Y71" i="1"/>
  <c r="U71" i="1"/>
  <c r="Q71" i="1"/>
  <c r="M71" i="1"/>
  <c r="AC70" i="1"/>
  <c r="AD70" i="1" s="1"/>
  <c r="AB70" i="1"/>
  <c r="Y70" i="1"/>
  <c r="U70" i="1"/>
  <c r="Q70" i="1"/>
  <c r="M70" i="1"/>
  <c r="AC69" i="1"/>
  <c r="AD69" i="1" s="1"/>
  <c r="AB69" i="1"/>
  <c r="Y69" i="1"/>
  <c r="U69" i="1"/>
  <c r="Q69" i="1"/>
  <c r="M69" i="1"/>
  <c r="AC68" i="1"/>
  <c r="AD68" i="1" s="1"/>
  <c r="AB68" i="1"/>
  <c r="Y68" i="1"/>
  <c r="U68" i="1"/>
  <c r="Q68" i="1"/>
  <c r="M68" i="1"/>
  <c r="AC67" i="1"/>
  <c r="AD67" i="1" s="1"/>
  <c r="AB67" i="1"/>
  <c r="Y67" i="1"/>
  <c r="U67" i="1"/>
  <c r="Q67" i="1"/>
  <c r="M67" i="1"/>
  <c r="AC66" i="1"/>
  <c r="AD66" i="1" s="1"/>
  <c r="AB66" i="1"/>
  <c r="Y66" i="1"/>
  <c r="U66" i="1"/>
  <c r="Q66" i="1"/>
  <c r="M66" i="1"/>
  <c r="AC65" i="1"/>
  <c r="AD65" i="1" s="1"/>
  <c r="AB65" i="1"/>
  <c r="Y65" i="1"/>
  <c r="U65" i="1"/>
  <c r="Q65" i="1"/>
  <c r="M65" i="1"/>
  <c r="AC64" i="1"/>
  <c r="AD64" i="1" s="1"/>
  <c r="AB64" i="1"/>
  <c r="Y64" i="1"/>
  <c r="U64" i="1"/>
  <c r="Q64" i="1"/>
  <c r="M64" i="1"/>
  <c r="AC63" i="1"/>
  <c r="AD63" i="1" s="1"/>
  <c r="AB63" i="1"/>
  <c r="Y63" i="1"/>
  <c r="U63" i="1"/>
  <c r="Q63" i="1"/>
  <c r="M63" i="1"/>
  <c r="AC62" i="1"/>
  <c r="AD62" i="1" s="1"/>
  <c r="AB62" i="1"/>
  <c r="Y62" i="1"/>
  <c r="U62" i="1"/>
  <c r="Q62" i="1"/>
  <c r="M62" i="1"/>
  <c r="AC61" i="1"/>
  <c r="AD61" i="1" s="1"/>
  <c r="AB61" i="1"/>
  <c r="Y61" i="1"/>
  <c r="U61" i="1"/>
  <c r="Q61" i="1"/>
  <c r="M61" i="1"/>
  <c r="AC60" i="1"/>
  <c r="AD60" i="1" s="1"/>
  <c r="AB60" i="1"/>
  <c r="Y60" i="1"/>
  <c r="U60" i="1"/>
  <c r="Q60" i="1"/>
  <c r="M60" i="1"/>
  <c r="AC59" i="1"/>
  <c r="AD59" i="1" s="1"/>
  <c r="AB59" i="1"/>
  <c r="Y59" i="1"/>
  <c r="U59" i="1"/>
  <c r="Q59" i="1"/>
  <c r="M59" i="1"/>
  <c r="AC58" i="1"/>
  <c r="AD58" i="1" s="1"/>
  <c r="AB58" i="1"/>
  <c r="Y58" i="1"/>
  <c r="U58" i="1"/>
  <c r="Q58" i="1"/>
  <c r="M58" i="1"/>
  <c r="AC57" i="1"/>
  <c r="AD57" i="1" s="1"/>
  <c r="AB57" i="1"/>
  <c r="Y57" i="1"/>
  <c r="U57" i="1"/>
  <c r="Q57" i="1"/>
  <c r="M57" i="1"/>
  <c r="AC56" i="1"/>
  <c r="AD56" i="1" s="1"/>
  <c r="AB56" i="1"/>
  <c r="Y56" i="1"/>
  <c r="U56" i="1"/>
  <c r="Q56" i="1"/>
  <c r="M56" i="1"/>
  <c r="AC55" i="1"/>
  <c r="AD55" i="1" s="1"/>
  <c r="AB55" i="1"/>
  <c r="Y55" i="1"/>
  <c r="U55" i="1"/>
  <c r="Q55" i="1"/>
  <c r="M55" i="1"/>
  <c r="AC54" i="1"/>
  <c r="AD54" i="1" s="1"/>
  <c r="AB54" i="1"/>
  <c r="Y54" i="1"/>
  <c r="U54" i="1"/>
  <c r="Q54" i="1"/>
  <c r="M54" i="1"/>
  <c r="AC53" i="1"/>
  <c r="AD53" i="1" s="1"/>
  <c r="AB53" i="1"/>
  <c r="Y53" i="1"/>
  <c r="U53" i="1"/>
  <c r="Q53" i="1"/>
  <c r="M53" i="1"/>
  <c r="AC52" i="1"/>
  <c r="AD52" i="1" s="1"/>
  <c r="AB52" i="1"/>
  <c r="Y52" i="1"/>
  <c r="U52" i="1"/>
  <c r="Q52" i="1"/>
  <c r="M52" i="1"/>
  <c r="AC51" i="1"/>
  <c r="AD51" i="1" s="1"/>
  <c r="AB51" i="1"/>
  <c r="Y51" i="1"/>
  <c r="U51" i="1"/>
  <c r="Q51" i="1"/>
  <c r="M51" i="1"/>
  <c r="AC50" i="1"/>
  <c r="AD50" i="1" s="1"/>
  <c r="AB50" i="1"/>
  <c r="Y50" i="1"/>
  <c r="U50" i="1"/>
  <c r="Q50" i="1"/>
  <c r="M50" i="1"/>
  <c r="AC49" i="1"/>
  <c r="AD49" i="1" s="1"/>
  <c r="AB49" i="1"/>
  <c r="Y49" i="1"/>
  <c r="U49" i="1"/>
  <c r="Q49" i="1"/>
  <c r="M49" i="1"/>
  <c r="AC48" i="1"/>
  <c r="AD48" i="1" s="1"/>
  <c r="AB48" i="1"/>
  <c r="Y48" i="1"/>
  <c r="U48" i="1"/>
  <c r="Q48" i="1"/>
  <c r="M48" i="1"/>
  <c r="AC47" i="1"/>
  <c r="AD47" i="1" s="1"/>
  <c r="AB47" i="1"/>
  <c r="Y47" i="1"/>
  <c r="U47" i="1"/>
  <c r="Q47" i="1"/>
  <c r="M47" i="1"/>
  <c r="AC46" i="1"/>
  <c r="AD46" i="1" s="1"/>
  <c r="AB46" i="1"/>
  <c r="Y46" i="1"/>
  <c r="U46" i="1"/>
  <c r="Q46" i="1"/>
  <c r="M46" i="1"/>
  <c r="AC45" i="1"/>
  <c r="AD45" i="1" s="1"/>
  <c r="AB45" i="1"/>
  <c r="Y45" i="1"/>
  <c r="U45" i="1"/>
  <c r="Q45" i="1"/>
  <c r="M45" i="1"/>
  <c r="AC44" i="1"/>
  <c r="AD44" i="1" s="1"/>
  <c r="AB44" i="1"/>
  <c r="Y44" i="1"/>
  <c r="U44" i="1"/>
  <c r="Q44" i="1"/>
  <c r="M44" i="1"/>
  <c r="AC43" i="1"/>
  <c r="AD43" i="1" s="1"/>
  <c r="AB43" i="1"/>
  <c r="Y43" i="1"/>
  <c r="U43" i="1"/>
  <c r="Q43" i="1"/>
  <c r="M43" i="1"/>
  <c r="AC42" i="1"/>
  <c r="AD42" i="1" s="1"/>
  <c r="AB42" i="1"/>
  <c r="Y42" i="1"/>
  <c r="U42" i="1"/>
  <c r="Q42" i="1"/>
  <c r="M42" i="1"/>
  <c r="AC41" i="1"/>
  <c r="AD41" i="1" s="1"/>
  <c r="AB41" i="1"/>
  <c r="Y41" i="1"/>
  <c r="U41" i="1"/>
  <c r="Q41" i="1"/>
  <c r="M41" i="1"/>
  <c r="AC40" i="1"/>
  <c r="AD40" i="1" s="1"/>
  <c r="AB40" i="1"/>
  <c r="Y40" i="1"/>
  <c r="U40" i="1"/>
  <c r="Q40" i="1"/>
  <c r="M40" i="1"/>
  <c r="AC39" i="1"/>
  <c r="AD39" i="1" s="1"/>
  <c r="AB39" i="1"/>
  <c r="Y39" i="1"/>
  <c r="U39" i="1"/>
  <c r="Q39" i="1"/>
  <c r="M39" i="1"/>
  <c r="AC38" i="1"/>
  <c r="AD38" i="1" s="1"/>
  <c r="AB38" i="1"/>
  <c r="Y38" i="1"/>
  <c r="U38" i="1"/>
  <c r="Q38" i="1"/>
  <c r="M38" i="1"/>
  <c r="AC37" i="1"/>
  <c r="AD37" i="1" s="1"/>
  <c r="AB37" i="1"/>
  <c r="Y37" i="1"/>
  <c r="U37" i="1"/>
  <c r="Q37" i="1"/>
  <c r="M37" i="1"/>
  <c r="AC36" i="1"/>
  <c r="AD36" i="1" s="1"/>
  <c r="AB36" i="1"/>
  <c r="Y36" i="1"/>
  <c r="U36" i="1"/>
  <c r="Q36" i="1"/>
  <c r="M36" i="1"/>
  <c r="AC35" i="1"/>
  <c r="AD35" i="1" s="1"/>
  <c r="AB35" i="1"/>
  <c r="Y35" i="1"/>
  <c r="U35" i="1"/>
  <c r="Q35" i="1"/>
  <c r="M35" i="1"/>
  <c r="AC34" i="1"/>
  <c r="AD34" i="1" s="1"/>
  <c r="AB34" i="1"/>
  <c r="Y34" i="1"/>
  <c r="U34" i="1"/>
  <c r="Q34" i="1"/>
  <c r="M34" i="1"/>
  <c r="AC33" i="1"/>
  <c r="AD33" i="1" s="1"/>
  <c r="AB33" i="1"/>
  <c r="Y33" i="1"/>
  <c r="U33" i="1"/>
  <c r="Q33" i="1"/>
  <c r="M33" i="1"/>
  <c r="AC32" i="1"/>
  <c r="AD32" i="1" s="1"/>
  <c r="AB32" i="1"/>
  <c r="Y32" i="1"/>
  <c r="U32" i="1"/>
  <c r="Q32" i="1"/>
  <c r="M32" i="1"/>
  <c r="AC31" i="1"/>
  <c r="AD31" i="1" s="1"/>
  <c r="AB31" i="1"/>
  <c r="Y31" i="1"/>
  <c r="U31" i="1"/>
  <c r="Q31" i="1"/>
  <c r="M31" i="1"/>
  <c r="AC30" i="1"/>
  <c r="AD30" i="1" s="1"/>
  <c r="AB30" i="1"/>
  <c r="Y30" i="1"/>
  <c r="U30" i="1"/>
  <c r="Q30" i="1"/>
  <c r="M30" i="1"/>
  <c r="AC29" i="1"/>
  <c r="AD29" i="1" s="1"/>
  <c r="AB29" i="1"/>
  <c r="Y29" i="1"/>
  <c r="U29" i="1"/>
  <c r="Q29" i="1"/>
  <c r="M29" i="1"/>
  <c r="AC28" i="1"/>
  <c r="AD28" i="1" s="1"/>
  <c r="AB28" i="1"/>
  <c r="Y28" i="1"/>
  <c r="U28" i="1"/>
  <c r="Q28" i="1"/>
  <c r="M28" i="1"/>
  <c r="AC27" i="1"/>
  <c r="AD27" i="1" s="1"/>
  <c r="AB27" i="1"/>
  <c r="Y27" i="1"/>
  <c r="U27" i="1"/>
  <c r="Q27" i="1"/>
  <c r="M27" i="1"/>
  <c r="AC26" i="1"/>
  <c r="AD26" i="1" s="1"/>
  <c r="AB26" i="1"/>
  <c r="Y26" i="1"/>
  <c r="U26" i="1"/>
  <c r="Q26" i="1"/>
  <c r="M26" i="1"/>
  <c r="AC25" i="1"/>
  <c r="AD25" i="1" s="1"/>
  <c r="AB25" i="1"/>
  <c r="Y25" i="1"/>
  <c r="U25" i="1"/>
  <c r="Q25" i="1"/>
  <c r="M25" i="1"/>
  <c r="AC24" i="1"/>
  <c r="AD24" i="1" s="1"/>
  <c r="AB24" i="1"/>
  <c r="Y24" i="1"/>
  <c r="U24" i="1"/>
  <c r="Q24" i="1"/>
  <c r="M24" i="1"/>
  <c r="AC23" i="1"/>
  <c r="AD23" i="1" s="1"/>
  <c r="AB23" i="1"/>
  <c r="Y23" i="1"/>
  <c r="U23" i="1"/>
  <c r="Q23" i="1"/>
  <c r="M23" i="1"/>
  <c r="AC22" i="1"/>
  <c r="AD22" i="1" s="1"/>
  <c r="AB22" i="1"/>
  <c r="Y22" i="1"/>
  <c r="U22" i="1"/>
  <c r="Q22" i="1"/>
  <c r="M22" i="1"/>
  <c r="AC21" i="1"/>
  <c r="AD21" i="1" s="1"/>
  <c r="AB21" i="1"/>
  <c r="Y21" i="1"/>
  <c r="U21" i="1"/>
  <c r="Q21" i="1"/>
  <c r="M21" i="1"/>
  <c r="AC20" i="1"/>
  <c r="AD20" i="1" s="1"/>
  <c r="AB20" i="1"/>
  <c r="Y20" i="1"/>
  <c r="U20" i="1"/>
  <c r="Q20" i="1"/>
  <c r="M20" i="1"/>
  <c r="AC19" i="1"/>
  <c r="AD19" i="1" s="1"/>
  <c r="AB19" i="1"/>
  <c r="Y19" i="1"/>
  <c r="U19" i="1"/>
  <c r="Q19" i="1"/>
  <c r="M19" i="1"/>
  <c r="AC18" i="1"/>
  <c r="AD18" i="1" s="1"/>
  <c r="AB18" i="1"/>
  <c r="Y18" i="1"/>
  <c r="U18" i="1"/>
  <c r="Q18" i="1"/>
  <c r="M1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G98" i="1" l="1"/>
  <c r="AC89" i="1"/>
  <c r="AD89" i="1" s="1"/>
  <c r="AB89" i="1"/>
  <c r="AC88" i="1"/>
  <c r="AD88" i="1" s="1"/>
  <c r="AB88" i="1"/>
  <c r="AC87" i="1"/>
  <c r="AD87" i="1" s="1"/>
  <c r="AB87" i="1"/>
  <c r="AC17" i="1"/>
  <c r="AD17" i="1" s="1"/>
  <c r="AB17" i="1"/>
  <c r="AC16" i="1"/>
  <c r="AD16" i="1" s="1"/>
  <c r="AB16" i="1"/>
  <c r="AC15" i="1"/>
  <c r="AD15" i="1" s="1"/>
  <c r="AB15" i="1"/>
  <c r="AC14" i="1"/>
  <c r="AD14" i="1" s="1"/>
  <c r="AB14" i="1"/>
  <c r="AC13" i="1"/>
  <c r="AD13" i="1" s="1"/>
  <c r="AB13" i="1"/>
  <c r="AC12" i="1"/>
  <c r="AD12" i="1" s="1"/>
  <c r="AB12" i="1"/>
  <c r="AC11" i="1"/>
  <c r="AD11" i="1" s="1"/>
  <c r="AB11" i="1"/>
  <c r="AC10" i="1"/>
  <c r="AD10" i="1" s="1"/>
  <c r="AB10" i="1"/>
  <c r="M101" i="1" l="1"/>
  <c r="Y10" i="1"/>
  <c r="Y11" i="1"/>
  <c r="Y12" i="1"/>
  <c r="Y13" i="1"/>
  <c r="Y14" i="1"/>
  <c r="Y15" i="1"/>
  <c r="Y16" i="1"/>
  <c r="Y17" i="1"/>
  <c r="Y87" i="1"/>
  <c r="Y88" i="1"/>
  <c r="Y89" i="1"/>
  <c r="Y90" i="1"/>
  <c r="Y91" i="1"/>
  <c r="Y92" i="1"/>
  <c r="U10" i="1"/>
  <c r="U11" i="1"/>
  <c r="U12" i="1"/>
  <c r="U13" i="1"/>
  <c r="U14" i="1"/>
  <c r="U15" i="1"/>
  <c r="U16" i="1"/>
  <c r="U17" i="1"/>
  <c r="U87" i="1"/>
  <c r="U88" i="1"/>
  <c r="U89" i="1"/>
  <c r="U90" i="1"/>
  <c r="Q10" i="1"/>
  <c r="Q11" i="1"/>
  <c r="Q12" i="1"/>
  <c r="Q13" i="1"/>
  <c r="Q14" i="1"/>
  <c r="Q15" i="1"/>
  <c r="Q16" i="1"/>
  <c r="Q17" i="1"/>
  <c r="Q87" i="1"/>
  <c r="Q88" i="1"/>
  <c r="Q89" i="1"/>
  <c r="Q90" i="1"/>
  <c r="Q91" i="1"/>
  <c r="M9" i="1"/>
  <c r="M10" i="1"/>
  <c r="M11" i="1"/>
  <c r="M12" i="1"/>
  <c r="M13" i="1"/>
  <c r="M14" i="1"/>
  <c r="M15" i="1"/>
  <c r="M16" i="1"/>
  <c r="M17" i="1"/>
  <c r="M87" i="1"/>
  <c r="M88" i="1"/>
  <c r="M89" i="1"/>
  <c r="M90" i="1"/>
  <c r="M91" i="1"/>
  <c r="I10" i="1"/>
  <c r="I11" i="1"/>
  <c r="I12" i="1"/>
  <c r="I13" i="1"/>
  <c r="I14" i="1"/>
  <c r="I15" i="1"/>
  <c r="I16" i="1"/>
  <c r="I17" i="1"/>
  <c r="AC90" i="1"/>
  <c r="AD90" i="1" s="1"/>
  <c r="AC91" i="1"/>
  <c r="AD91" i="1" s="1"/>
  <c r="AC92" i="1"/>
  <c r="AD92" i="1" s="1"/>
  <c r="AC93" i="1"/>
  <c r="AD93" i="1" s="1"/>
  <c r="AC94" i="1"/>
  <c r="AD94" i="1" s="1"/>
  <c r="AC95" i="1"/>
  <c r="AD95" i="1" s="1"/>
  <c r="AC8" i="1"/>
  <c r="AD8" i="1" s="1"/>
  <c r="AC9" i="1"/>
  <c r="AD9" i="1" s="1"/>
  <c r="AC96" i="1"/>
  <c r="AD96" i="1" s="1"/>
  <c r="AC97" i="1"/>
  <c r="AD97" i="1" s="1"/>
  <c r="AB97" i="1"/>
  <c r="Y97" i="1"/>
  <c r="U97" i="1"/>
  <c r="Q97" i="1"/>
  <c r="M97" i="1"/>
  <c r="AB96" i="1"/>
  <c r="Y96" i="1"/>
  <c r="U96" i="1"/>
  <c r="Q96" i="1"/>
  <c r="M96" i="1"/>
  <c r="AB105" i="1"/>
  <c r="AB104" i="1"/>
  <c r="AB103" i="1"/>
  <c r="AB102" i="1"/>
  <c r="AB101" i="1"/>
  <c r="AB95" i="1"/>
  <c r="AB94" i="1"/>
  <c r="AB93" i="1"/>
  <c r="AB92" i="1"/>
  <c r="AB91" i="1"/>
  <c r="AB90" i="1"/>
  <c r="AB9" i="1"/>
  <c r="AB8" i="1"/>
  <c r="Y95" i="1"/>
  <c r="Y94" i="1"/>
  <c r="Y93" i="1"/>
  <c r="Y9" i="1"/>
  <c r="Y8" i="1"/>
  <c r="U95" i="1"/>
  <c r="U94" i="1"/>
  <c r="U93" i="1"/>
  <c r="U92" i="1"/>
  <c r="U91" i="1"/>
  <c r="U9" i="1"/>
  <c r="U8" i="1"/>
  <c r="Q95" i="1"/>
  <c r="Q94" i="1"/>
  <c r="Q93" i="1"/>
  <c r="Q92" i="1"/>
  <c r="Q9" i="1"/>
  <c r="Q8" i="1"/>
  <c r="M105" i="1"/>
  <c r="M104" i="1"/>
  <c r="M103" i="1"/>
  <c r="M102" i="1"/>
  <c r="M95" i="1"/>
  <c r="M94" i="1"/>
  <c r="M93" i="1"/>
  <c r="M92" i="1"/>
  <c r="M8" i="1"/>
  <c r="I105" i="1"/>
  <c r="I104" i="1"/>
  <c r="I103" i="1"/>
  <c r="I102" i="1"/>
  <c r="AC105" i="1"/>
  <c r="AD105" i="1" s="1"/>
  <c r="AC104" i="1"/>
  <c r="AD104" i="1" s="1"/>
  <c r="AC103" i="1"/>
  <c r="AD103" i="1" s="1"/>
  <c r="AC102" i="1"/>
  <c r="AD102" i="1" s="1"/>
  <c r="Q105" i="1"/>
  <c r="Q104" i="1"/>
  <c r="Q103" i="1"/>
  <c r="Q102" i="1"/>
  <c r="Y105" i="1"/>
  <c r="Y104" i="1"/>
  <c r="Y103" i="1"/>
  <c r="Y102" i="1"/>
  <c r="U105" i="1"/>
  <c r="U104" i="1"/>
  <c r="U103" i="1"/>
  <c r="U102" i="1"/>
  <c r="Y101" i="1"/>
  <c r="U101" i="1"/>
  <c r="I101" i="1"/>
  <c r="I9" i="1"/>
  <c r="I8" i="1"/>
  <c r="AD98" i="1" l="1"/>
  <c r="Q101" i="1"/>
  <c r="I98" i="1"/>
  <c r="I225" i="1"/>
  <c r="AC98" i="1"/>
  <c r="AC101" i="1"/>
  <c r="AD101" i="1" s="1"/>
  <c r="AD225" i="1" l="1"/>
  <c r="AD226" i="1" s="1"/>
  <c r="I226" i="1"/>
  <c r="AC225" i="1"/>
  <c r="AC226" i="1" s="1"/>
</calcChain>
</file>

<file path=xl/sharedStrings.xml><?xml version="1.0" encoding="utf-8"?>
<sst xmlns="http://schemas.openxmlformats.org/spreadsheetml/2006/main" count="562" uniqueCount="272">
  <si>
    <t>ITEM NO</t>
  </si>
  <si>
    <t>DESCRIPTION OF GOODS</t>
  </si>
  <si>
    <t>COUNTRY</t>
  </si>
  <si>
    <t>NO</t>
  </si>
  <si>
    <t>USED</t>
  </si>
  <si>
    <t>UNIT</t>
  </si>
  <si>
    <t>QUANTITY</t>
  </si>
  <si>
    <t>REMARKS</t>
  </si>
  <si>
    <t>MODEL/ COUNTRY</t>
  </si>
  <si>
    <t>SERIAL NO</t>
  </si>
  <si>
    <t>NEW/ USED</t>
  </si>
  <si>
    <t>UNIT PRICE (USD)</t>
  </si>
  <si>
    <t>TOTAL PRICE (USD)</t>
  </si>
  <si>
    <t>II-RAW MATERIALS AND ACCESSORIES</t>
  </si>
  <si>
    <t>Total(II)</t>
  </si>
  <si>
    <t>Grand Total(I+II)</t>
  </si>
  <si>
    <t>CIB 01E(i)</t>
  </si>
  <si>
    <t>COMPANY   : NEW FOCUS APPAREL (CAMBODIA) Co., LTD.</t>
  </si>
  <si>
    <t>APPLICATION FOR CUSTOMS DUTY EXEMPTION</t>
  </si>
  <si>
    <t>PHONE No   :</t>
  </si>
  <si>
    <t>CIB FILE No :</t>
  </si>
  <si>
    <t xml:space="preserve">Date of Submission : </t>
  </si>
  <si>
    <t>Signature and Stamp</t>
  </si>
  <si>
    <t>Any misrepresentation or omission of information by the investor may result in the cancellation of the incentives granted to the investor.</t>
  </si>
  <si>
    <t>TOTAL</t>
  </si>
  <si>
    <t>M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</si>
  <si>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</si>
  <si>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</si>
  <si>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</si>
  <si>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</si>
  <si>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</si>
  <si>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</si>
  <si>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</si>
  <si>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</si>
  <si>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</si>
  <si>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</si>
  <si>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</si>
  <si>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</si>
  <si>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ENDING</t>
  </si>
  <si>
    <t>BALANCE/ QTY</t>
  </si>
  <si>
    <t>Balance Amount</t>
  </si>
  <si>
    <t>SANN RITHEA</t>
  </si>
  <si>
    <t>I</t>
  </si>
  <si>
    <t>MACHINERIES AND EQUIPMENT</t>
  </si>
  <si>
    <t>One needle sewing machine</t>
  </si>
  <si>
    <t>Two needle sewing machine</t>
  </si>
  <si>
    <t>Overlock sewing machine</t>
  </si>
  <si>
    <t>Cover stitching machine</t>
  </si>
  <si>
    <t>Bartacking machine</t>
  </si>
  <si>
    <t>Waistband chainstitching machine</t>
  </si>
  <si>
    <t>Four thread coverstitch sewing machine</t>
  </si>
  <si>
    <t>Three needle five thread sewing machine</t>
  </si>
  <si>
    <t>Four needle six thread sewing machine</t>
  </si>
  <si>
    <t>Blind Stitching Machine</t>
  </si>
  <si>
    <t>Automatic elastic sewing machine</t>
  </si>
  <si>
    <t>Two needle elastic sewing machine</t>
  </si>
  <si>
    <t>Four needle elastic sewing machine</t>
  </si>
  <si>
    <t>Waistband sewing machine</t>
  </si>
  <si>
    <t>Collar sewing machine</t>
  </si>
  <si>
    <t>Embroidery machine (12 heads)</t>
  </si>
  <si>
    <t>Embroidery machine (20 heads)</t>
  </si>
  <si>
    <t>Pocket-hole sewing machine</t>
  </si>
  <si>
    <t>Beltloop cutting machine</t>
  </si>
  <si>
    <t>Heat transfer pressing machine</t>
  </si>
  <si>
    <t>Button hemming machine</t>
  </si>
  <si>
    <t>Button holing machine</t>
  </si>
  <si>
    <t>Button sewing machine</t>
  </si>
  <si>
    <t>Snap fixing machine</t>
  </si>
  <si>
    <t>Labeling machine</t>
  </si>
  <si>
    <t>Plastic container</t>
  </si>
  <si>
    <t>Worker chair</t>
  </si>
  <si>
    <t>Feed-off the arm sewing machine</t>
  </si>
  <si>
    <t>Flat bed interlocking machine</t>
  </si>
  <si>
    <t>Computerized designing machine with plotter</t>
  </si>
  <si>
    <t>Hanger system</t>
  </si>
  <si>
    <t>Auto cutter</t>
  </si>
  <si>
    <t>Auto spreader</t>
  </si>
  <si>
    <t>Fabric cutting machine</t>
  </si>
  <si>
    <t>Straight knife cutting machine</t>
  </si>
  <si>
    <t>Die cutter</t>
  </si>
  <si>
    <t>Fabric piping cutting machine</t>
  </si>
  <si>
    <t>End cutter</t>
  </si>
  <si>
    <t>Fabric drilling machine</t>
  </si>
  <si>
    <t>Fabric spreading machine</t>
  </si>
  <si>
    <t>Metal glove</t>
  </si>
  <si>
    <t>Band knife cutting machine</t>
  </si>
  <si>
    <t>Washing machine</t>
  </si>
  <si>
    <t>Drying machine</t>
  </si>
  <si>
    <t>Extracting machine</t>
  </si>
  <si>
    <t>Air Compressor (10HP)</t>
  </si>
  <si>
    <t>Air Compressor (20HP)</t>
  </si>
  <si>
    <t>Water softener system</t>
  </si>
  <si>
    <t>Electric steam boiler (3 Ton)</t>
  </si>
  <si>
    <t>Electric steam boiler (2 Ton)</t>
  </si>
  <si>
    <t>Steam Iron</t>
  </si>
  <si>
    <t>Vacuum ironing table</t>
  </si>
  <si>
    <t>Pressing table</t>
  </si>
  <si>
    <t>Electric iron</t>
  </si>
  <si>
    <t>Fusing machine</t>
  </si>
  <si>
    <t>Mould pressing machine</t>
  </si>
  <si>
    <t>Spot removing machine</t>
  </si>
  <si>
    <t>Strapping machine</t>
  </si>
  <si>
    <t>Tag gun</t>
  </si>
  <si>
    <t>Spray gun</t>
  </si>
  <si>
    <t>Metal detecting machine</t>
  </si>
  <si>
    <t>Checking table</t>
  </si>
  <si>
    <t>Weighing scale (100Kg)</t>
  </si>
  <si>
    <t>Electronic weighing scale (50Kg)</t>
  </si>
  <si>
    <t>Fabric inspecting machine</t>
  </si>
  <si>
    <t>Water drinking machine</t>
  </si>
  <si>
    <t>Fabric testing machine</t>
  </si>
  <si>
    <t>Fabric relaxing machine</t>
  </si>
  <si>
    <t>Numbering machine</t>
  </si>
  <si>
    <t>Barcode printer</t>
  </si>
  <si>
    <t>Fabric roll rack</t>
  </si>
  <si>
    <t>Tape cutter</t>
  </si>
  <si>
    <t>Thread rewinding machine</t>
  </si>
  <si>
    <t>Thread sucking machine</t>
  </si>
  <si>
    <t>Forklift (5 Ton)</t>
  </si>
  <si>
    <t>Foklift (2 Ton)</t>
  </si>
  <si>
    <t>Drinking water dispenser</t>
  </si>
  <si>
    <t>Water filter system</t>
  </si>
  <si>
    <t>Time recorder</t>
  </si>
  <si>
    <t>Generator 650Kva</t>
  </si>
  <si>
    <t>Generator 350Kva</t>
  </si>
  <si>
    <t>Generator 150Kva</t>
  </si>
  <si>
    <t>Numbering device</t>
  </si>
  <si>
    <t>Air compressor (15Hp)</t>
  </si>
  <si>
    <t>Water ventilation cooling system</t>
  </si>
  <si>
    <t>Face mask</t>
  </si>
  <si>
    <t>Temperature measuring device</t>
  </si>
  <si>
    <t>Dummy</t>
  </si>
  <si>
    <t>Auto template machine</t>
  </si>
  <si>
    <t>Iron shelf</t>
  </si>
  <si>
    <t>New</t>
  </si>
  <si>
    <t>Set</t>
  </si>
  <si>
    <t>Pcs</t>
  </si>
  <si>
    <t>set</t>
  </si>
  <si>
    <t>Bag</t>
  </si>
  <si>
    <t>Woven fabric</t>
  </si>
  <si>
    <t>Yarn</t>
  </si>
  <si>
    <t>Non woven fabric</t>
  </si>
  <si>
    <t>Knitted fabric</t>
  </si>
  <si>
    <t>Inter lining fabric</t>
  </si>
  <si>
    <t>Non Woven interlinning</t>
  </si>
  <si>
    <t>Embroidery fabric</t>
  </si>
  <si>
    <t>Pocket fabric</t>
  </si>
  <si>
    <t>Mesh fabric</t>
  </si>
  <si>
    <t>PU Fabric</t>
  </si>
  <si>
    <t>Flat knit collar</t>
  </si>
  <si>
    <t>Flat knit cuff</t>
  </si>
  <si>
    <t>Ribbon</t>
  </si>
  <si>
    <t>Main label</t>
  </si>
  <si>
    <t>Woven label</t>
  </si>
  <si>
    <t>Size label</t>
  </si>
  <si>
    <t>Care label</t>
  </si>
  <si>
    <t>Rubber label</t>
  </si>
  <si>
    <t>Leather label</t>
  </si>
  <si>
    <t>Sticker label</t>
  </si>
  <si>
    <t>Paper label</t>
  </si>
  <si>
    <t>Insert card</t>
  </si>
  <si>
    <t>Plastic sticker</t>
  </si>
  <si>
    <t>Metal button</t>
  </si>
  <si>
    <t>Plastic button</t>
  </si>
  <si>
    <t>Metal zipper</t>
  </si>
  <si>
    <t>Plastic zipper</t>
  </si>
  <si>
    <t>Elastic band</t>
  </si>
  <si>
    <t>Drawstring</t>
  </si>
  <si>
    <t>Woven tape</t>
  </si>
  <si>
    <t>Eyelet</t>
  </si>
  <si>
    <t>Nylon thread</t>
  </si>
  <si>
    <t>Cotton thread</t>
  </si>
  <si>
    <t>Plastic hanger</t>
  </si>
  <si>
    <t>Metal hanger</t>
  </si>
  <si>
    <t>Plastic clip</t>
  </si>
  <si>
    <t>Card board paper</t>
  </si>
  <si>
    <t>Magic tape</t>
  </si>
  <si>
    <t>Lace width 1cm-5Cm</t>
  </si>
  <si>
    <t>Cotton Tape</t>
  </si>
  <si>
    <t>Hang tag</t>
  </si>
  <si>
    <t>Price ticket</t>
  </si>
  <si>
    <t>Paper sticker</t>
  </si>
  <si>
    <t>Plastic tag pin</t>
  </si>
  <si>
    <t>Plastic loop pin</t>
  </si>
  <si>
    <t>Tissue paprer</t>
  </si>
  <si>
    <t>Pattern paper</t>
  </si>
  <si>
    <t>Poly bag</t>
  </si>
  <si>
    <t>Plastic wrap</t>
  </si>
  <si>
    <t>Metal chain</t>
  </si>
  <si>
    <t>Plastic chain</t>
  </si>
  <si>
    <t>Sponge sheet</t>
  </si>
  <si>
    <t>Packing tray</t>
  </si>
  <si>
    <t>Poly bag with snap cover</t>
  </si>
  <si>
    <t>Marker paper</t>
  </si>
  <si>
    <t>Carbon paper (121*182cm)</t>
  </si>
  <si>
    <t>Bra cup</t>
  </si>
  <si>
    <t>Metal bead</t>
  </si>
  <si>
    <t>Plastic bead</t>
  </si>
  <si>
    <t>Bra wire</t>
  </si>
  <si>
    <t>Plastic stopper</t>
  </si>
  <si>
    <t>Gum tape</t>
  </si>
  <si>
    <t>Plastic buckle</t>
  </si>
  <si>
    <t>Metal buckle</t>
  </si>
  <si>
    <t>Snap button</t>
  </si>
  <si>
    <t>Ribbon bow</t>
  </si>
  <si>
    <t>Garment decoration</t>
  </si>
  <si>
    <t>Rhinestone</t>
  </si>
  <si>
    <t>Sublimation sheet</t>
  </si>
  <si>
    <t>Velcro tape</t>
  </si>
  <si>
    <t>Transparent tape</t>
  </si>
  <si>
    <t>Twill tape</t>
  </si>
  <si>
    <t>Safety pin</t>
  </si>
  <si>
    <t>Barcode sticker</t>
  </si>
  <si>
    <t>Polyester thread</t>
  </si>
  <si>
    <t>Elastic thread</t>
  </si>
  <si>
    <t>Nylon zipper</t>
  </si>
  <si>
    <t>Leather patch</t>
  </si>
  <si>
    <t>Printed label</t>
  </si>
  <si>
    <t>Badge</t>
  </si>
  <si>
    <t>Embroidery patch</t>
  </si>
  <si>
    <t>Heat transfer label</t>
  </si>
  <si>
    <t>Lace</t>
  </si>
  <si>
    <t>Shoulder tape</t>
  </si>
  <si>
    <t>Herringbone tape</t>
  </si>
  <si>
    <t>Elastic string</t>
  </si>
  <si>
    <t>Sticker</t>
  </si>
  <si>
    <t>Size sticker</t>
  </si>
  <si>
    <t>Price sticker</t>
  </si>
  <si>
    <t>Hanger sticker</t>
  </si>
  <si>
    <t>Polybag sticker</t>
  </si>
  <si>
    <t>Carton sticker</t>
  </si>
  <si>
    <t>Snap</t>
  </si>
  <si>
    <t>Stopper</t>
  </si>
  <si>
    <t>Rivet</t>
  </si>
  <si>
    <t>Buckle</t>
  </si>
  <si>
    <t>Size tag</t>
  </si>
  <si>
    <t>Paper hangtag</t>
  </si>
  <si>
    <t>Plastic hangtag</t>
  </si>
  <si>
    <t>Waist tag</t>
  </si>
  <si>
    <t>Price tag</t>
  </si>
  <si>
    <t>Hanger</t>
  </si>
  <si>
    <t>Sizer clip</t>
  </si>
  <si>
    <t>Hanger clip</t>
  </si>
  <si>
    <t>Polybag</t>
  </si>
  <si>
    <t>Plastic polybag</t>
  </si>
  <si>
    <t>Seal tape</t>
  </si>
  <si>
    <t>Plastic box</t>
  </si>
  <si>
    <t>Carton box</t>
  </si>
  <si>
    <t>Plastic pin</t>
  </si>
  <si>
    <t>Barcode printer ribbon</t>
  </si>
  <si>
    <t>Sequin</t>
  </si>
  <si>
    <t>Hook &amp; bar</t>
  </si>
  <si>
    <t>Security tag</t>
  </si>
  <si>
    <t>Supertag VST, ILI</t>
  </si>
  <si>
    <t>Super tack</t>
  </si>
  <si>
    <t>Smoking thread</t>
  </si>
  <si>
    <t>Knitted rib</t>
  </si>
  <si>
    <t>Hanger loop</t>
  </si>
  <si>
    <t>Padding</t>
  </si>
  <si>
    <t>Faux fur trim</t>
  </si>
  <si>
    <t>Sponge</t>
  </si>
  <si>
    <t>Leather belt</t>
  </si>
  <si>
    <t>Belt</t>
  </si>
  <si>
    <t>Kg</t>
  </si>
  <si>
    <t>Yd</t>
  </si>
  <si>
    <t>Doz</t>
  </si>
  <si>
    <t>Gross</t>
  </si>
  <si>
    <t>Cone</t>
  </si>
  <si>
    <t>Box</t>
  </si>
  <si>
    <t>Roll</t>
  </si>
  <si>
    <t>Value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</si>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</sst>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;[Red]#,##0"/>
    <numFmt numFmtId="166" formatCode="_-* #,##0.00_-;\-* #,##0.00_-;_-* &quot;-&quot;??_-;_-@_-"/>
    <numFmt numFmtId="167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Khmer OS Battambang"/>
    </font>
    <font>
      <b/>
      <sz val="11"/>
      <color theme="1"/>
      <name val="Calibri"/>
      <family val="2"/>
      <scheme val="minor"/>
    </font>
    <font>
      <sz val="12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2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44" fontId="2" fillId="0" borderId="1" xfId="2" applyFont="1" applyBorder="1"/>
    <xf numFmtId="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4" fontId="3" fillId="0" borderId="1" xfId="0" applyNumberFormat="1" applyFont="1" applyBorder="1"/>
    <xf numFmtId="43" fontId="3" fillId="0" borderId="1" xfId="0" applyNumberFormat="1" applyFont="1" applyBorder="1"/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2" fillId="0" borderId="1" xfId="2" applyFont="1" applyFill="1" applyBorder="1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43" fontId="6" fillId="0" borderId="0" xfId="1" applyFont="1" applyFill="1" applyBorder="1"/>
    <xf numFmtId="165" fontId="7" fillId="0" borderId="0" xfId="0" applyNumberFormat="1" applyFont="1"/>
    <xf numFmtId="1" fontId="7" fillId="0" borderId="0" xfId="0" applyNumberFormat="1" applyFont="1" applyAlignment="1">
      <alignment horizontal="left"/>
    </xf>
    <xf numFmtId="0" fontId="9" fillId="0" borderId="0" xfId="0" applyFont="1"/>
    <xf numFmtId="0" fontId="8" fillId="0" borderId="0" xfId="0" applyFont="1"/>
    <xf numFmtId="43" fontId="9" fillId="0" borderId="0" xfId="1" applyFont="1" applyFill="1" applyBorder="1"/>
    <xf numFmtId="165" fontId="8" fillId="0" borderId="0" xfId="0" applyNumberFormat="1" applyFont="1"/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/>
    <xf numFmtId="0" fontId="4" fillId="0" borderId="0" xfId="0" applyFont="1"/>
    <xf numFmtId="44" fontId="3" fillId="0" borderId="1" xfId="2" applyFont="1" applyBorder="1"/>
    <xf numFmtId="0" fontId="10" fillId="0" borderId="0" xfId="0" applyFont="1"/>
    <xf numFmtId="17" fontId="2" fillId="0" borderId="1" xfId="0" applyNumberFormat="1" applyFont="1" applyBorder="1" applyAlignment="1">
      <alignment horizontal="center"/>
    </xf>
    <xf numFmtId="43" fontId="2" fillId="0" borderId="1" xfId="1" applyFont="1" applyBorder="1"/>
    <xf numFmtId="43" fontId="2" fillId="2" borderId="1" xfId="1" applyFont="1" applyFill="1" applyBorder="1"/>
    <xf numFmtId="43" fontId="2" fillId="0" borderId="1" xfId="0" applyNumberFormat="1" applyFont="1" applyBorder="1"/>
    <xf numFmtId="0" fontId="2" fillId="3" borderId="1" xfId="0" applyFont="1" applyFill="1" applyBorder="1"/>
    <xf numFmtId="43" fontId="2" fillId="4" borderId="1" xfId="1" applyFont="1" applyFill="1" applyBorder="1"/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44" fontId="2" fillId="3" borderId="1" xfId="2" applyFont="1" applyFill="1" applyBorder="1"/>
    <xf numFmtId="0" fontId="7" fillId="5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2" fillId="5" borderId="0" xfId="0" applyFont="1" applyFill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0" fillId="5" borderId="1" xfId="0" applyFill="1" applyBorder="1"/>
    <xf numFmtId="0" fontId="0" fillId="5" borderId="0" xfId="0" applyFill="1"/>
    <xf numFmtId="17" fontId="2" fillId="5" borderId="1" xfId="0" applyNumberFormat="1" applyFont="1" applyFill="1" applyBorder="1" applyAlignment="1">
      <alignment horizontal="center"/>
    </xf>
    <xf numFmtId="0" fontId="2" fillId="3" borderId="0" xfId="0" applyFont="1" applyFill="1"/>
    <xf numFmtId="43" fontId="3" fillId="0" borderId="1" xfId="1" applyFont="1" applyBorder="1"/>
    <xf numFmtId="43" fontId="11" fillId="0" borderId="1" xfId="0" applyNumberFormat="1" applyFont="1" applyBorder="1"/>
    <xf numFmtId="1" fontId="2" fillId="0" borderId="1" xfId="0" applyNumberFormat="1" applyFont="1" applyBorder="1"/>
    <xf numFmtId="167" fontId="2" fillId="0" borderId="1" xfId="0" applyNumberFormat="1" applyFont="1" applyBorder="1"/>
    <xf numFmtId="0" fontId="2" fillId="0" borderId="5" xfId="0" applyFont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/>
    </xf>
  </cellXfs>
  <cellStyles count="4">
    <cellStyle name="Comma" xfId="1" builtinId="3"/>
    <cellStyle name="Comma 2" xfId="3" xr:uid="{00000000-0005-0000-0000-000001000000}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33"/>
  <sheetViews>
    <sheetView tabSelected="1" topLeftCell="J4" zoomScale="85" zoomScaleNormal="85" zoomScaleSheetLayoutView="85" workbookViewId="0">
      <pane ySplit="3" topLeftCell="A22" activePane="bottomLeft" state="frozen"/>
      <selection activeCell="A4" sqref="A4"/>
      <selection pane="bottomLeft" activeCell="N8" sqref="N8:N9"/>
    </sheetView>
  </sheetViews>
  <sheetFormatPr defaultRowHeight="14.4" x14ac:dyDescent="0.3"/>
  <cols>
    <col min="1" max="1" width="7.33203125" customWidth="1"/>
    <col min="2" max="2" width="42.33203125" customWidth="1"/>
    <col min="3" max="3" width="13.88671875" hidden="1" customWidth="1"/>
    <col min="4" max="4" width="11.109375" hidden="1" customWidth="1"/>
    <col min="5" max="5" width="9.109375" style="11" customWidth="1"/>
    <col min="6" max="6" width="18.109375" style="11" customWidth="1"/>
    <col min="7" max="7" width="15.44140625" style="11" customWidth="1"/>
    <col min="8" max="8" width="16" customWidth="1"/>
    <col min="9" max="9" width="24" customWidth="1"/>
    <col min="10" max="10" width="21" style="11" customWidth="1"/>
    <col min="13" max="13" width="9.109375" style="54"/>
    <col min="17" max="17" width="9.109375" style="54"/>
    <col min="21" max="21" width="9.109375" style="54"/>
    <col min="25" max="25" width="9.109375" style="54"/>
    <col min="26" max="26" width="13.44140625" bestFit="1" customWidth="1"/>
    <col min="28" max="28" width="9.109375" style="54"/>
    <col min="29" max="29" width="17.88671875" customWidth="1"/>
    <col min="30" max="30" width="18.88671875" customWidth="1"/>
  </cols>
  <sheetData>
    <row r="1" spans="1:50" s="1" customFormat="1" ht="27" customHeight="1" x14ac:dyDescent="0.3">
      <c r="A1" s="22" t="s">
        <v>16</v>
      </c>
      <c r="B1" s="23"/>
      <c r="C1" s="24"/>
      <c r="D1" s="24"/>
      <c r="E1" s="24"/>
      <c r="F1" s="25" t="s">
        <v>17</v>
      </c>
      <c r="G1" s="26"/>
      <c r="H1" s="24"/>
      <c r="I1" s="24"/>
      <c r="J1" s="27"/>
      <c r="K1" s="23"/>
      <c r="L1" s="23"/>
      <c r="M1" s="48"/>
      <c r="Q1" s="50"/>
      <c r="U1" s="50"/>
      <c r="Y1" s="50"/>
      <c r="AB1" s="50"/>
    </row>
    <row r="2" spans="1:50" s="1" customFormat="1" ht="15.6" x14ac:dyDescent="0.3">
      <c r="A2" s="28" t="s">
        <v>18</v>
      </c>
      <c r="B2" s="29"/>
      <c r="C2" s="29"/>
      <c r="D2" s="29"/>
      <c r="E2" s="29"/>
      <c r="F2" s="30" t="s">
        <v>19</v>
      </c>
      <c r="G2" s="31"/>
      <c r="H2" s="29"/>
      <c r="I2" s="29"/>
      <c r="J2" s="32"/>
      <c r="K2" s="33"/>
      <c r="L2" s="33"/>
      <c r="M2" s="49"/>
      <c r="N2" s="34"/>
      <c r="Q2" s="50"/>
      <c r="U2" s="50"/>
      <c r="Y2" s="50"/>
      <c r="AB2" s="50"/>
    </row>
    <row r="3" spans="1:50" s="1" customFormat="1" ht="15.6" x14ac:dyDescent="0.3">
      <c r="A3" s="22"/>
      <c r="B3" s="23"/>
      <c r="C3" s="24"/>
      <c r="D3" s="24"/>
      <c r="E3" s="24"/>
      <c r="F3" s="25" t="s">
        <v>20</v>
      </c>
      <c r="G3" s="26"/>
      <c r="H3" s="24"/>
      <c r="I3" s="24"/>
      <c r="J3" s="27"/>
      <c r="K3" s="23"/>
      <c r="L3" s="23"/>
      <c r="M3" s="48"/>
      <c r="Q3" s="50"/>
      <c r="U3" s="50"/>
      <c r="Y3" s="50"/>
      <c r="AB3" s="50"/>
    </row>
    <row r="4" spans="1:50" s="1" customFormat="1" ht="15.6" x14ac:dyDescent="0.3">
      <c r="E4" s="10"/>
      <c r="F4" s="10"/>
      <c r="G4" s="10"/>
      <c r="J4" s="10"/>
      <c r="M4" s="50"/>
      <c r="Q4" s="50"/>
      <c r="U4" s="50"/>
      <c r="Y4" s="50"/>
      <c r="AB4" s="50"/>
    </row>
    <row r="5" spans="1:50" s="1" customFormat="1" ht="15.6" x14ac:dyDescent="0.3">
      <c r="A5" s="69" t="s">
        <v>0</v>
      </c>
      <c r="B5" s="68" t="s">
        <v>1</v>
      </c>
      <c r="C5" s="69" t="s">
        <v>8</v>
      </c>
      <c r="D5" s="69" t="s">
        <v>9</v>
      </c>
      <c r="E5" s="69" t="s">
        <v>10</v>
      </c>
      <c r="F5" s="68" t="s">
        <v>5</v>
      </c>
      <c r="G5" s="68" t="s">
        <v>6</v>
      </c>
      <c r="H5" s="69" t="s">
        <v>11</v>
      </c>
      <c r="I5" s="69" t="s">
        <v>12</v>
      </c>
      <c r="J5" s="68" t="s">
        <v>7</v>
      </c>
      <c r="K5" s="18" t="s">
        <v>31</v>
      </c>
      <c r="L5" s="18" t="s">
        <v>32</v>
      </c>
      <c r="M5" s="51"/>
      <c r="N5" s="38" t="s">
        <v>33</v>
      </c>
      <c r="O5" s="18" t="s">
        <v>34</v>
      </c>
      <c r="P5" s="38" t="s">
        <v>35</v>
      </c>
      <c r="Q5" s="55"/>
      <c r="R5" s="18" t="s">
        <v>36</v>
      </c>
      <c r="S5" s="38" t="s">
        <v>37</v>
      </c>
      <c r="T5" s="18" t="s">
        <v>26</v>
      </c>
      <c r="U5" s="51"/>
      <c r="V5" s="38" t="s">
        <v>27</v>
      </c>
      <c r="W5" s="18" t="s">
        <v>28</v>
      </c>
      <c r="X5" s="38" t="s">
        <v>29</v>
      </c>
      <c r="Y5" s="55"/>
      <c r="Z5" s="18" t="s">
        <v>30</v>
      </c>
      <c r="AA5" s="38" t="s">
        <v>31</v>
      </c>
      <c r="AB5" s="55"/>
      <c r="AC5" s="70" t="s">
        <v>38</v>
      </c>
      <c r="AD5" s="70"/>
    </row>
    <row r="6" spans="1:50" s="1" customFormat="1" ht="15.6" x14ac:dyDescent="0.3">
      <c r="A6" s="69"/>
      <c r="B6" s="68"/>
      <c r="C6" s="69" t="s">
        <v>2</v>
      </c>
      <c r="D6" s="69" t="s">
        <v>3</v>
      </c>
      <c r="E6" s="69" t="s">
        <v>4</v>
      </c>
      <c r="F6" s="68"/>
      <c r="G6" s="68"/>
      <c r="H6" s="69"/>
      <c r="I6" s="69"/>
      <c r="J6" s="68"/>
      <c r="K6" s="19">
        <v>2026</v>
      </c>
      <c r="L6" s="19">
        <v>2026</v>
      </c>
      <c r="M6" s="51"/>
      <c r="N6" s="19">
        <v>2026</v>
      </c>
      <c r="O6" s="19">
        <v>2026</v>
      </c>
      <c r="P6" s="19">
        <v>2026</v>
      </c>
      <c r="Q6" s="51"/>
      <c r="R6" s="19">
        <v>2027</v>
      </c>
      <c r="S6" s="19">
        <v>2027</v>
      </c>
      <c r="T6" s="19">
        <v>2027</v>
      </c>
      <c r="U6" s="51"/>
      <c r="V6" s="19">
        <v>2027</v>
      </c>
      <c r="W6" s="19">
        <v>2027</v>
      </c>
      <c r="X6" s="19">
        <v>2027</v>
      </c>
      <c r="Y6" s="51"/>
      <c r="Z6" s="17">
        <v>2027</v>
      </c>
      <c r="AA6" s="17">
        <v>2027</v>
      </c>
      <c r="AB6" s="52"/>
      <c r="AC6" s="40" t="s">
        <v>39</v>
      </c>
      <c r="AD6" s="17" t="s">
        <v>40</v>
      </c>
      <c r="AE6" s="16"/>
      <c r="AF6" s="16"/>
      <c r="AG6" s="16"/>
      <c r="AH6" s="16"/>
      <c r="AI6" s="16"/>
      <c r="AJ6" s="16"/>
      <c r="AK6" s="16"/>
      <c r="AL6" s="16"/>
    </row>
    <row r="7" spans="1:50" s="16" customFormat="1" ht="15.6" x14ac:dyDescent="0.3">
      <c r="A7" s="13" t="s">
        <v>42</v>
      </c>
      <c r="B7" s="13" t="s">
        <v>43</v>
      </c>
      <c r="C7" s="15"/>
      <c r="D7" s="15"/>
      <c r="E7" s="15"/>
      <c r="F7" s="14"/>
      <c r="G7" s="14"/>
      <c r="H7" s="15"/>
      <c r="I7" s="15"/>
      <c r="J7" s="14"/>
      <c r="K7" s="18"/>
      <c r="L7" s="18"/>
      <c r="M7" s="51"/>
      <c r="N7" s="38"/>
      <c r="O7" s="18"/>
      <c r="P7" s="38"/>
      <c r="Q7" s="55"/>
      <c r="R7" s="18"/>
      <c r="S7" s="38"/>
      <c r="T7" s="18"/>
      <c r="U7" s="51"/>
      <c r="V7" s="38"/>
      <c r="W7" s="18"/>
      <c r="X7" s="38"/>
      <c r="Y7" s="55"/>
      <c r="Z7" s="18"/>
      <c r="AA7" s="38"/>
      <c r="AB7" s="55"/>
      <c r="AC7" s="39"/>
      <c r="AD7" s="3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s="3" customFormat="1" ht="15.6" x14ac:dyDescent="0.3">
      <c r="A8" s="2">
        <v>1</v>
      </c>
      <c r="B8" s="3" t="s">
        <v>44</v>
      </c>
      <c r="E8" s="18" t="s">
        <v>134</v>
      </c>
      <c r="F8" s="18" t="s">
        <v>135</v>
      </c>
      <c r="G8" s="18">
        <v>400</v>
      </c>
      <c r="H8" s="4">
        <v>350</v>
      </c>
      <c r="I8" s="4">
        <f>H8*G8</f>
        <v>140000</v>
      </c>
      <c r="J8" s="18"/>
      <c r="K8" s="46"/>
      <c r="L8" s="46"/>
      <c r="M8" s="51">
        <f>SUM(K8:L8)</f>
        <v>0</v>
      </c>
      <c r="N8" s="46"/>
      <c r="O8" s="46"/>
      <c r="P8" s="46"/>
      <c r="Q8" s="51">
        <f>SUM(N8:P8)</f>
        <v>0</v>
      </c>
      <c r="R8" s="46"/>
      <c r="S8" s="46"/>
      <c r="T8" s="46"/>
      <c r="U8" s="51">
        <f>SUM(R8:T8)</f>
        <v>0</v>
      </c>
      <c r="V8" s="46"/>
      <c r="W8" s="46"/>
      <c r="X8" s="46"/>
      <c r="Y8" s="51">
        <f>SUM(V8:X8)</f>
        <v>0</v>
      </c>
      <c r="Z8" s="42"/>
      <c r="AA8" s="42"/>
      <c r="AB8" s="52">
        <f>SUM(Z8:AA8)</f>
        <v>0</v>
      </c>
      <c r="AC8" s="39">
        <f>G8-K8-L8-N8-O8-P8-R8-S8-T8-V8-W8-X8-Z8-AA8</f>
        <v>400</v>
      </c>
      <c r="AD8" s="42">
        <f>AC8*H8</f>
        <v>140000</v>
      </c>
      <c r="AE8" s="56"/>
      <c r="AF8" s="56"/>
      <c r="AG8" s="56"/>
      <c r="AH8" s="56"/>
      <c r="AI8" s="56"/>
      <c r="AJ8" s="56"/>
      <c r="AK8" s="56"/>
      <c r="AL8" s="5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</row>
    <row r="9" spans="1:50" s="3" customFormat="1" ht="15.6" x14ac:dyDescent="0.3">
      <c r="A9" s="2">
        <v>2</v>
      </c>
      <c r="B9" s="3" t="s">
        <v>45</v>
      </c>
      <c r="E9" s="18" t="s">
        <v>134</v>
      </c>
      <c r="F9" s="18" t="s">
        <v>135</v>
      </c>
      <c r="G9" s="18">
        <v>400</v>
      </c>
      <c r="H9" s="4">
        <v>500</v>
      </c>
      <c r="I9" s="4">
        <f t="shared" ref="I9:I97" si="0">H9*G9</f>
        <v>200000</v>
      </c>
      <c r="J9" s="5"/>
      <c r="M9" s="51">
        <f t="shared" ref="M9:M91" si="1">SUM(K9:L9)</f>
        <v>0</v>
      </c>
      <c r="Q9" s="51">
        <f t="shared" ref="Q9:Q95" si="2">SUM(N9:P9)</f>
        <v>0</v>
      </c>
      <c r="U9" s="51">
        <f t="shared" ref="U9:U95" si="3">SUM(R9:T9)</f>
        <v>0</v>
      </c>
      <c r="Y9" s="51">
        <f t="shared" ref="Y9:Y95" si="4">SUM(V9:X9)</f>
        <v>0</v>
      </c>
      <c r="AB9" s="52">
        <f t="shared" ref="AB9:AB95" si="5">SUM(Z9:AA9)</f>
        <v>0</v>
      </c>
      <c r="AC9" s="39">
        <f>G9-K9-L9-N9-O9-P9-R9-S9-T9-V9-W9-X9-Z9-AA9</f>
        <v>400</v>
      </c>
      <c r="AD9" s="42">
        <f t="shared" ref="AD9:AD97" si="6">AC9*H9</f>
        <v>200000</v>
      </c>
      <c r="AE9" s="61"/>
    </row>
    <row r="10" spans="1:50" s="3" customFormat="1" ht="15.6" x14ac:dyDescent="0.3">
      <c r="A10" s="2">
        <v>3</v>
      </c>
      <c r="B10" s="3" t="s">
        <v>46</v>
      </c>
      <c r="E10" s="18" t="s">
        <v>134</v>
      </c>
      <c r="F10" s="18" t="s">
        <v>135</v>
      </c>
      <c r="G10" s="18">
        <v>350</v>
      </c>
      <c r="H10" s="4">
        <v>600</v>
      </c>
      <c r="I10" s="4">
        <f t="shared" si="0"/>
        <v>210000</v>
      </c>
      <c r="J10" s="5"/>
      <c r="M10" s="51">
        <f t="shared" si="1"/>
        <v>0</v>
      </c>
      <c r="Q10" s="51">
        <f t="shared" si="2"/>
        <v>0</v>
      </c>
      <c r="U10" s="51">
        <f t="shared" si="3"/>
        <v>0</v>
      </c>
      <c r="Y10" s="51">
        <f t="shared" si="4"/>
        <v>0</v>
      </c>
      <c r="AB10" s="52">
        <f t="shared" ref="AB10:AB89" si="7">SUM(Z10:AA10)</f>
        <v>0</v>
      </c>
      <c r="AC10" s="39">
        <f t="shared" ref="AC10:AC89" si="8">G10-K10-L10-N10-O10-P10-R10-S10-T10-V10-W10-X10-Z10-AA10</f>
        <v>350</v>
      </c>
      <c r="AD10" s="42">
        <f t="shared" si="6"/>
        <v>210000</v>
      </c>
      <c r="AE10" s="61"/>
    </row>
    <row r="11" spans="1:50" s="3" customFormat="1" ht="15.6" x14ac:dyDescent="0.3">
      <c r="A11" s="2">
        <v>4</v>
      </c>
      <c r="B11" s="3" t="s">
        <v>47</v>
      </c>
      <c r="E11" s="18" t="s">
        <v>134</v>
      </c>
      <c r="F11" s="18" t="s">
        <v>135</v>
      </c>
      <c r="G11" s="18">
        <v>65</v>
      </c>
      <c r="H11" s="4">
        <v>850</v>
      </c>
      <c r="I11" s="4">
        <f t="shared" si="0"/>
        <v>55250</v>
      </c>
      <c r="J11" s="5"/>
      <c r="M11" s="51">
        <f t="shared" si="1"/>
        <v>0</v>
      </c>
      <c r="Q11" s="51">
        <f t="shared" si="2"/>
        <v>0</v>
      </c>
      <c r="U11" s="51">
        <f t="shared" si="3"/>
        <v>0</v>
      </c>
      <c r="Y11" s="51">
        <f t="shared" si="4"/>
        <v>0</v>
      </c>
      <c r="AB11" s="52">
        <f t="shared" si="7"/>
        <v>0</v>
      </c>
      <c r="AC11" s="39">
        <f t="shared" si="8"/>
        <v>65</v>
      </c>
      <c r="AD11" s="42">
        <f t="shared" si="6"/>
        <v>55250</v>
      </c>
      <c r="AE11" s="61"/>
    </row>
    <row r="12" spans="1:50" s="3" customFormat="1" ht="15.6" x14ac:dyDescent="0.3">
      <c r="A12" s="2">
        <v>5</v>
      </c>
      <c r="B12" s="3" t="s">
        <v>48</v>
      </c>
      <c r="E12" s="18" t="s">
        <v>134</v>
      </c>
      <c r="F12" s="18" t="s">
        <v>135</v>
      </c>
      <c r="G12" s="18">
        <v>80</v>
      </c>
      <c r="H12" s="4">
        <v>2100</v>
      </c>
      <c r="I12" s="4">
        <f t="shared" si="0"/>
        <v>168000</v>
      </c>
      <c r="J12" s="5"/>
      <c r="M12" s="51">
        <f t="shared" si="1"/>
        <v>0</v>
      </c>
      <c r="Q12" s="51">
        <f t="shared" si="2"/>
        <v>0</v>
      </c>
      <c r="U12" s="51">
        <f t="shared" si="3"/>
        <v>0</v>
      </c>
      <c r="Y12" s="51">
        <f t="shared" si="4"/>
        <v>0</v>
      </c>
      <c r="AB12" s="52">
        <f t="shared" si="7"/>
        <v>0</v>
      </c>
      <c r="AC12" s="39">
        <f t="shared" si="8"/>
        <v>80</v>
      </c>
      <c r="AD12" s="42">
        <f t="shared" si="6"/>
        <v>168000</v>
      </c>
      <c r="AE12" s="61"/>
    </row>
    <row r="13" spans="1:50" s="3" customFormat="1" ht="15.6" x14ac:dyDescent="0.3">
      <c r="A13" s="2">
        <v>6</v>
      </c>
      <c r="B13" s="3" t="s">
        <v>49</v>
      </c>
      <c r="E13" s="18" t="s">
        <v>134</v>
      </c>
      <c r="F13" s="18" t="s">
        <v>135</v>
      </c>
      <c r="G13" s="18">
        <v>30</v>
      </c>
      <c r="H13" s="4">
        <v>1300</v>
      </c>
      <c r="I13" s="4">
        <f t="shared" si="0"/>
        <v>39000</v>
      </c>
      <c r="J13" s="5"/>
      <c r="M13" s="51">
        <f t="shared" si="1"/>
        <v>0</v>
      </c>
      <c r="Q13" s="51">
        <f t="shared" si="2"/>
        <v>0</v>
      </c>
      <c r="U13" s="51">
        <f t="shared" si="3"/>
        <v>0</v>
      </c>
      <c r="Y13" s="51">
        <f t="shared" si="4"/>
        <v>0</v>
      </c>
      <c r="AB13" s="52">
        <f t="shared" si="7"/>
        <v>0</v>
      </c>
      <c r="AC13" s="39">
        <f t="shared" si="8"/>
        <v>30</v>
      </c>
      <c r="AD13" s="42">
        <f t="shared" si="6"/>
        <v>39000</v>
      </c>
      <c r="AE13" s="61"/>
    </row>
    <row r="14" spans="1:50" s="3" customFormat="1" ht="15.6" x14ac:dyDescent="0.3">
      <c r="A14" s="2">
        <v>7</v>
      </c>
      <c r="B14" s="3" t="s">
        <v>50</v>
      </c>
      <c r="E14" s="18" t="s">
        <v>134</v>
      </c>
      <c r="F14" s="18" t="s">
        <v>135</v>
      </c>
      <c r="G14" s="18">
        <v>50</v>
      </c>
      <c r="H14" s="4">
        <v>1560</v>
      </c>
      <c r="I14" s="4">
        <f t="shared" si="0"/>
        <v>78000</v>
      </c>
      <c r="J14" s="5"/>
      <c r="M14" s="51">
        <f t="shared" si="1"/>
        <v>0</v>
      </c>
      <c r="Q14" s="51">
        <f t="shared" si="2"/>
        <v>0</v>
      </c>
      <c r="U14" s="51">
        <f t="shared" si="3"/>
        <v>0</v>
      </c>
      <c r="Y14" s="51">
        <f t="shared" si="4"/>
        <v>0</v>
      </c>
      <c r="AB14" s="52">
        <f t="shared" si="7"/>
        <v>0</v>
      </c>
      <c r="AC14" s="39">
        <f t="shared" si="8"/>
        <v>50</v>
      </c>
      <c r="AD14" s="42">
        <f t="shared" si="6"/>
        <v>78000</v>
      </c>
      <c r="AE14" s="61"/>
    </row>
    <row r="15" spans="1:50" s="3" customFormat="1" ht="15.6" x14ac:dyDescent="0.3">
      <c r="A15" s="2">
        <v>8</v>
      </c>
      <c r="B15" s="3" t="s">
        <v>51</v>
      </c>
      <c r="E15" s="18" t="s">
        <v>134</v>
      </c>
      <c r="F15" s="18" t="s">
        <v>135</v>
      </c>
      <c r="G15" s="18">
        <v>50</v>
      </c>
      <c r="H15" s="4">
        <v>1580</v>
      </c>
      <c r="I15" s="4">
        <f t="shared" si="0"/>
        <v>79000</v>
      </c>
      <c r="J15" s="5"/>
      <c r="M15" s="51">
        <f t="shared" si="1"/>
        <v>0</v>
      </c>
      <c r="Q15" s="51">
        <f t="shared" si="2"/>
        <v>0</v>
      </c>
      <c r="U15" s="51">
        <f t="shared" si="3"/>
        <v>0</v>
      </c>
      <c r="Y15" s="51">
        <f t="shared" si="4"/>
        <v>0</v>
      </c>
      <c r="AB15" s="52">
        <f t="shared" si="7"/>
        <v>0</v>
      </c>
      <c r="AC15" s="39">
        <f t="shared" si="8"/>
        <v>50</v>
      </c>
      <c r="AD15" s="42">
        <f t="shared" si="6"/>
        <v>79000</v>
      </c>
      <c r="AE15" s="61"/>
    </row>
    <row r="16" spans="1:50" s="3" customFormat="1" ht="15.6" x14ac:dyDescent="0.3">
      <c r="A16" s="2">
        <v>9</v>
      </c>
      <c r="B16" s="3" t="s">
        <v>52</v>
      </c>
      <c r="E16" s="18" t="s">
        <v>134</v>
      </c>
      <c r="F16" s="18" t="s">
        <v>135</v>
      </c>
      <c r="G16" s="18">
        <v>50</v>
      </c>
      <c r="H16" s="4">
        <v>6200</v>
      </c>
      <c r="I16" s="4">
        <f t="shared" si="0"/>
        <v>310000</v>
      </c>
      <c r="J16" s="5"/>
      <c r="M16" s="51">
        <f t="shared" si="1"/>
        <v>0</v>
      </c>
      <c r="Q16" s="51">
        <f t="shared" si="2"/>
        <v>0</v>
      </c>
      <c r="U16" s="51">
        <f t="shared" si="3"/>
        <v>0</v>
      </c>
      <c r="Y16" s="51">
        <f t="shared" si="4"/>
        <v>0</v>
      </c>
      <c r="AB16" s="52">
        <f t="shared" si="7"/>
        <v>0</v>
      </c>
      <c r="AC16" s="39">
        <f t="shared" si="8"/>
        <v>50</v>
      </c>
      <c r="AD16" s="42">
        <f t="shared" si="6"/>
        <v>310000</v>
      </c>
      <c r="AE16" s="61"/>
    </row>
    <row r="17" spans="1:31" s="3" customFormat="1" ht="15.6" x14ac:dyDescent="0.3">
      <c r="A17" s="2">
        <v>10</v>
      </c>
      <c r="B17" s="3" t="s">
        <v>53</v>
      </c>
      <c r="E17" s="18" t="s">
        <v>134</v>
      </c>
      <c r="F17" s="18" t="s">
        <v>135</v>
      </c>
      <c r="G17" s="18">
        <v>20</v>
      </c>
      <c r="H17" s="4">
        <v>950</v>
      </c>
      <c r="I17" s="4">
        <f t="shared" si="0"/>
        <v>19000</v>
      </c>
      <c r="J17" s="5"/>
      <c r="M17" s="51">
        <f t="shared" si="1"/>
        <v>0</v>
      </c>
      <c r="Q17" s="51">
        <f t="shared" si="2"/>
        <v>0</v>
      </c>
      <c r="U17" s="51">
        <f t="shared" si="3"/>
        <v>0</v>
      </c>
      <c r="Y17" s="51">
        <f t="shared" si="4"/>
        <v>0</v>
      </c>
      <c r="AB17" s="52">
        <f t="shared" si="7"/>
        <v>0</v>
      </c>
      <c r="AC17" s="39">
        <f t="shared" si="8"/>
        <v>20</v>
      </c>
      <c r="AD17" s="42">
        <f t="shared" si="6"/>
        <v>19000</v>
      </c>
      <c r="AE17" s="61"/>
    </row>
    <row r="18" spans="1:31" s="3" customFormat="1" ht="15.6" x14ac:dyDescent="0.3">
      <c r="A18" s="2">
        <v>11</v>
      </c>
      <c r="B18" s="3" t="s">
        <v>54</v>
      </c>
      <c r="E18" s="18" t="s">
        <v>134</v>
      </c>
      <c r="F18" s="18" t="s">
        <v>135</v>
      </c>
      <c r="G18" s="18">
        <v>20</v>
      </c>
      <c r="H18" s="4">
        <v>1000</v>
      </c>
      <c r="I18" s="4">
        <f t="shared" si="0"/>
        <v>20000</v>
      </c>
      <c r="J18" s="5"/>
      <c r="M18" s="51">
        <f t="shared" ref="M18:M81" si="9">SUM(K18:L18)</f>
        <v>0</v>
      </c>
      <c r="Q18" s="51">
        <f t="shared" ref="Q18:Q81" si="10">SUM(N18:P18)</f>
        <v>0</v>
      </c>
      <c r="U18" s="51">
        <f t="shared" ref="U18:U81" si="11">SUM(R18:T18)</f>
        <v>0</v>
      </c>
      <c r="Y18" s="51">
        <f t="shared" ref="Y18:Y81" si="12">SUM(V18:X18)</f>
        <v>0</v>
      </c>
      <c r="AB18" s="52">
        <f t="shared" ref="AB18:AB81" si="13">SUM(Z18:AA18)</f>
        <v>0</v>
      </c>
      <c r="AC18" s="39">
        <f t="shared" ref="AC18:AC81" si="14">G18-K18-L18-N18-O18-P18-R18-S18-T18-V18-W18-X18-Z18-AA18</f>
        <v>20</v>
      </c>
      <c r="AD18" s="42">
        <f t="shared" ref="AD18:AD81" si="15">AC18*H18</f>
        <v>20000</v>
      </c>
      <c r="AE18" s="61"/>
    </row>
    <row r="19" spans="1:31" s="3" customFormat="1" ht="15.6" x14ac:dyDescent="0.3">
      <c r="A19" s="2">
        <v>12</v>
      </c>
      <c r="B19" s="3" t="s">
        <v>55</v>
      </c>
      <c r="E19" s="18" t="s">
        <v>134</v>
      </c>
      <c r="F19" s="18" t="s">
        <v>135</v>
      </c>
      <c r="G19" s="18">
        <v>10</v>
      </c>
      <c r="H19" s="4">
        <v>6100</v>
      </c>
      <c r="I19" s="4">
        <f t="shared" si="0"/>
        <v>61000</v>
      </c>
      <c r="J19" s="5"/>
      <c r="M19" s="51">
        <f t="shared" si="9"/>
        <v>0</v>
      </c>
      <c r="Q19" s="51">
        <f t="shared" si="10"/>
        <v>0</v>
      </c>
      <c r="U19" s="51">
        <f t="shared" si="11"/>
        <v>0</v>
      </c>
      <c r="Y19" s="51">
        <f t="shared" si="12"/>
        <v>0</v>
      </c>
      <c r="AB19" s="52">
        <f t="shared" si="13"/>
        <v>0</v>
      </c>
      <c r="AC19" s="39">
        <f t="shared" si="14"/>
        <v>10</v>
      </c>
      <c r="AD19" s="42">
        <f t="shared" si="15"/>
        <v>61000</v>
      </c>
      <c r="AE19" s="61"/>
    </row>
    <row r="20" spans="1:31" s="3" customFormat="1" ht="15.6" x14ac:dyDescent="0.3">
      <c r="A20" s="2">
        <v>13</v>
      </c>
      <c r="B20" s="3" t="s">
        <v>56</v>
      </c>
      <c r="E20" s="18" t="s">
        <v>134</v>
      </c>
      <c r="F20" s="18" t="s">
        <v>135</v>
      </c>
      <c r="G20" s="18">
        <v>10</v>
      </c>
      <c r="H20" s="4">
        <v>4420</v>
      </c>
      <c r="I20" s="4">
        <f t="shared" si="0"/>
        <v>44200</v>
      </c>
      <c r="J20" s="5"/>
      <c r="M20" s="51">
        <f t="shared" si="9"/>
        <v>0</v>
      </c>
      <c r="Q20" s="51">
        <f t="shared" si="10"/>
        <v>0</v>
      </c>
      <c r="U20" s="51">
        <f t="shared" si="11"/>
        <v>0</v>
      </c>
      <c r="Y20" s="51">
        <f t="shared" si="12"/>
        <v>0</v>
      </c>
      <c r="AB20" s="52">
        <f t="shared" si="13"/>
        <v>0</v>
      </c>
      <c r="AC20" s="39">
        <f t="shared" si="14"/>
        <v>10</v>
      </c>
      <c r="AD20" s="42">
        <f t="shared" si="15"/>
        <v>44200</v>
      </c>
      <c r="AE20" s="61"/>
    </row>
    <row r="21" spans="1:31" s="3" customFormat="1" ht="15.6" x14ac:dyDescent="0.3">
      <c r="A21" s="2">
        <v>14</v>
      </c>
      <c r="B21" s="3" t="s">
        <v>57</v>
      </c>
      <c r="E21" s="18" t="s">
        <v>134</v>
      </c>
      <c r="F21" s="18" t="s">
        <v>135</v>
      </c>
      <c r="G21" s="18">
        <v>35</v>
      </c>
      <c r="H21" s="4">
        <v>1000</v>
      </c>
      <c r="I21" s="4">
        <f t="shared" si="0"/>
        <v>35000</v>
      </c>
      <c r="J21" s="5"/>
      <c r="M21" s="51">
        <f t="shared" si="9"/>
        <v>0</v>
      </c>
      <c r="Q21" s="51">
        <f t="shared" si="10"/>
        <v>0</v>
      </c>
      <c r="U21" s="51">
        <f t="shared" si="11"/>
        <v>0</v>
      </c>
      <c r="Y21" s="51">
        <f t="shared" si="12"/>
        <v>0</v>
      </c>
      <c r="AB21" s="52">
        <f t="shared" si="13"/>
        <v>0</v>
      </c>
      <c r="AC21" s="39">
        <f t="shared" si="14"/>
        <v>35</v>
      </c>
      <c r="AD21" s="42">
        <f t="shared" si="15"/>
        <v>35000</v>
      </c>
      <c r="AE21" s="61"/>
    </row>
    <row r="22" spans="1:31" s="3" customFormat="1" ht="15.6" x14ac:dyDescent="0.3">
      <c r="A22" s="2">
        <v>15</v>
      </c>
      <c r="B22" s="3" t="s">
        <v>58</v>
      </c>
      <c r="E22" s="18" t="s">
        <v>134</v>
      </c>
      <c r="F22" s="18" t="s">
        <v>135</v>
      </c>
      <c r="G22" s="18">
        <v>10</v>
      </c>
      <c r="H22" s="4">
        <v>1600</v>
      </c>
      <c r="I22" s="4">
        <f t="shared" si="0"/>
        <v>16000</v>
      </c>
      <c r="J22" s="5"/>
      <c r="M22" s="51">
        <f t="shared" si="9"/>
        <v>0</v>
      </c>
      <c r="Q22" s="51">
        <f t="shared" si="10"/>
        <v>0</v>
      </c>
      <c r="U22" s="51">
        <f t="shared" si="11"/>
        <v>0</v>
      </c>
      <c r="Y22" s="51">
        <f t="shared" si="12"/>
        <v>0</v>
      </c>
      <c r="AB22" s="52">
        <f t="shared" si="13"/>
        <v>0</v>
      </c>
      <c r="AC22" s="39">
        <f t="shared" si="14"/>
        <v>10</v>
      </c>
      <c r="AD22" s="42">
        <f t="shared" si="15"/>
        <v>16000</v>
      </c>
      <c r="AE22" s="61"/>
    </row>
    <row r="23" spans="1:31" s="3" customFormat="1" ht="15.6" x14ac:dyDescent="0.3">
      <c r="A23" s="2">
        <v>16</v>
      </c>
      <c r="B23" s="3" t="s">
        <v>59</v>
      </c>
      <c r="E23" s="18" t="s">
        <v>134</v>
      </c>
      <c r="F23" s="18" t="s">
        <v>135</v>
      </c>
      <c r="G23" s="18">
        <v>4</v>
      </c>
      <c r="H23" s="4">
        <v>35000</v>
      </c>
      <c r="I23" s="4">
        <f t="shared" si="0"/>
        <v>140000</v>
      </c>
      <c r="J23" s="5"/>
      <c r="M23" s="51">
        <f t="shared" si="9"/>
        <v>0</v>
      </c>
      <c r="Q23" s="51">
        <f t="shared" si="10"/>
        <v>0</v>
      </c>
      <c r="U23" s="51">
        <f t="shared" si="11"/>
        <v>0</v>
      </c>
      <c r="Y23" s="51">
        <f t="shared" si="12"/>
        <v>0</v>
      </c>
      <c r="AB23" s="52">
        <f t="shared" si="13"/>
        <v>0</v>
      </c>
      <c r="AC23" s="39">
        <f t="shared" si="14"/>
        <v>4</v>
      </c>
      <c r="AD23" s="42">
        <f t="shared" si="15"/>
        <v>140000</v>
      </c>
      <c r="AE23" s="61"/>
    </row>
    <row r="24" spans="1:31" s="3" customFormat="1" ht="15.6" x14ac:dyDescent="0.3">
      <c r="A24" s="2">
        <v>17</v>
      </c>
      <c r="B24" s="3" t="s">
        <v>60</v>
      </c>
      <c r="E24" s="18" t="s">
        <v>134</v>
      </c>
      <c r="F24" s="18" t="s">
        <v>135</v>
      </c>
      <c r="G24" s="18">
        <v>2</v>
      </c>
      <c r="H24" s="4">
        <v>45000</v>
      </c>
      <c r="I24" s="4">
        <f t="shared" si="0"/>
        <v>90000</v>
      </c>
      <c r="J24" s="5"/>
      <c r="M24" s="51">
        <f t="shared" si="9"/>
        <v>0</v>
      </c>
      <c r="Q24" s="51">
        <f t="shared" si="10"/>
        <v>0</v>
      </c>
      <c r="U24" s="51">
        <f t="shared" si="11"/>
        <v>0</v>
      </c>
      <c r="Y24" s="51">
        <f t="shared" si="12"/>
        <v>0</v>
      </c>
      <c r="AB24" s="52">
        <f t="shared" si="13"/>
        <v>0</v>
      </c>
      <c r="AC24" s="39">
        <f t="shared" si="14"/>
        <v>2</v>
      </c>
      <c r="AD24" s="42">
        <f t="shared" si="15"/>
        <v>90000</v>
      </c>
      <c r="AE24" s="61"/>
    </row>
    <row r="25" spans="1:31" s="3" customFormat="1" ht="15.6" x14ac:dyDescent="0.3">
      <c r="A25" s="2">
        <v>18</v>
      </c>
      <c r="B25" s="3" t="s">
        <v>61</v>
      </c>
      <c r="E25" s="18" t="s">
        <v>134</v>
      </c>
      <c r="F25" s="18" t="s">
        <v>135</v>
      </c>
      <c r="G25" s="18">
        <v>4</v>
      </c>
      <c r="H25" s="4">
        <v>12000</v>
      </c>
      <c r="I25" s="4">
        <f t="shared" si="0"/>
        <v>48000</v>
      </c>
      <c r="J25" s="5"/>
      <c r="M25" s="51">
        <f t="shared" si="9"/>
        <v>0</v>
      </c>
      <c r="Q25" s="51">
        <f t="shared" si="10"/>
        <v>0</v>
      </c>
      <c r="U25" s="51">
        <f t="shared" si="11"/>
        <v>0</v>
      </c>
      <c r="Y25" s="51">
        <f t="shared" si="12"/>
        <v>0</v>
      </c>
      <c r="AB25" s="52">
        <f t="shared" si="13"/>
        <v>0</v>
      </c>
      <c r="AC25" s="39">
        <f t="shared" si="14"/>
        <v>4</v>
      </c>
      <c r="AD25" s="42">
        <f t="shared" si="15"/>
        <v>48000</v>
      </c>
      <c r="AE25" s="61"/>
    </row>
    <row r="26" spans="1:31" s="3" customFormat="1" ht="15.6" x14ac:dyDescent="0.3">
      <c r="A26" s="2">
        <v>19</v>
      </c>
      <c r="B26" s="3" t="s">
        <v>62</v>
      </c>
      <c r="E26" s="18" t="s">
        <v>134</v>
      </c>
      <c r="F26" s="18" t="s">
        <v>135</v>
      </c>
      <c r="G26" s="18">
        <v>5</v>
      </c>
      <c r="H26" s="4">
        <v>450</v>
      </c>
      <c r="I26" s="4">
        <f t="shared" si="0"/>
        <v>2250</v>
      </c>
      <c r="J26" s="5"/>
      <c r="M26" s="51">
        <f t="shared" si="9"/>
        <v>0</v>
      </c>
      <c r="Q26" s="51">
        <f t="shared" si="10"/>
        <v>0</v>
      </c>
      <c r="U26" s="51">
        <f t="shared" si="11"/>
        <v>0</v>
      </c>
      <c r="Y26" s="51">
        <f t="shared" si="12"/>
        <v>0</v>
      </c>
      <c r="AB26" s="52">
        <f t="shared" si="13"/>
        <v>0</v>
      </c>
      <c r="AC26" s="39">
        <f t="shared" si="14"/>
        <v>5</v>
      </c>
      <c r="AD26" s="42">
        <f t="shared" si="15"/>
        <v>2250</v>
      </c>
      <c r="AE26" s="61"/>
    </row>
    <row r="27" spans="1:31" s="3" customFormat="1" ht="15.6" x14ac:dyDescent="0.3">
      <c r="A27" s="2">
        <v>20</v>
      </c>
      <c r="B27" s="3" t="s">
        <v>63</v>
      </c>
      <c r="E27" s="18" t="s">
        <v>134</v>
      </c>
      <c r="F27" s="18" t="s">
        <v>135</v>
      </c>
      <c r="G27" s="18">
        <v>8</v>
      </c>
      <c r="H27" s="4">
        <v>1280</v>
      </c>
      <c r="I27" s="4">
        <f t="shared" si="0"/>
        <v>10240</v>
      </c>
      <c r="J27" s="5"/>
      <c r="M27" s="51">
        <f t="shared" si="9"/>
        <v>0</v>
      </c>
      <c r="Q27" s="51">
        <f t="shared" si="10"/>
        <v>0</v>
      </c>
      <c r="U27" s="51">
        <f t="shared" si="11"/>
        <v>0</v>
      </c>
      <c r="Y27" s="51">
        <f t="shared" si="12"/>
        <v>0</v>
      </c>
      <c r="AB27" s="52">
        <f t="shared" si="13"/>
        <v>0</v>
      </c>
      <c r="AC27" s="39">
        <f t="shared" si="14"/>
        <v>8</v>
      </c>
      <c r="AD27" s="42">
        <f t="shared" si="15"/>
        <v>10240</v>
      </c>
      <c r="AE27" s="61"/>
    </row>
    <row r="28" spans="1:31" s="3" customFormat="1" ht="15.6" x14ac:dyDescent="0.3">
      <c r="A28" s="2">
        <v>21</v>
      </c>
      <c r="B28" s="3" t="s">
        <v>64</v>
      </c>
      <c r="E28" s="18" t="s">
        <v>134</v>
      </c>
      <c r="F28" s="18" t="s">
        <v>135</v>
      </c>
      <c r="G28" s="18">
        <v>20</v>
      </c>
      <c r="H28" s="4">
        <v>500</v>
      </c>
      <c r="I28" s="4">
        <f t="shared" si="0"/>
        <v>10000</v>
      </c>
      <c r="J28" s="5"/>
      <c r="M28" s="51">
        <f t="shared" si="9"/>
        <v>0</v>
      </c>
      <c r="Q28" s="51">
        <f t="shared" si="10"/>
        <v>0</v>
      </c>
      <c r="U28" s="51">
        <f t="shared" si="11"/>
        <v>0</v>
      </c>
      <c r="Y28" s="51">
        <f t="shared" si="12"/>
        <v>0</v>
      </c>
      <c r="AB28" s="52">
        <f t="shared" si="13"/>
        <v>0</v>
      </c>
      <c r="AC28" s="39">
        <f t="shared" si="14"/>
        <v>20</v>
      </c>
      <c r="AD28" s="42">
        <f t="shared" si="15"/>
        <v>10000</v>
      </c>
      <c r="AE28" s="61"/>
    </row>
    <row r="29" spans="1:31" s="3" customFormat="1" ht="15.6" x14ac:dyDescent="0.3">
      <c r="A29" s="2">
        <v>22</v>
      </c>
      <c r="B29" s="3" t="s">
        <v>65</v>
      </c>
      <c r="E29" s="18" t="s">
        <v>134</v>
      </c>
      <c r="F29" s="18" t="s">
        <v>135</v>
      </c>
      <c r="G29" s="18">
        <v>4</v>
      </c>
      <c r="H29" s="4">
        <v>2300</v>
      </c>
      <c r="I29" s="4">
        <f t="shared" si="0"/>
        <v>9200</v>
      </c>
      <c r="J29" s="5"/>
      <c r="M29" s="51">
        <f t="shared" si="9"/>
        <v>0</v>
      </c>
      <c r="Q29" s="51">
        <f t="shared" si="10"/>
        <v>0</v>
      </c>
      <c r="U29" s="51">
        <f t="shared" si="11"/>
        <v>0</v>
      </c>
      <c r="Y29" s="51">
        <f t="shared" si="12"/>
        <v>0</v>
      </c>
      <c r="AB29" s="52">
        <f t="shared" si="13"/>
        <v>0</v>
      </c>
      <c r="AC29" s="39">
        <f t="shared" si="14"/>
        <v>4</v>
      </c>
      <c r="AD29" s="42">
        <f t="shared" si="15"/>
        <v>9200</v>
      </c>
      <c r="AE29" s="61"/>
    </row>
    <row r="30" spans="1:31" s="3" customFormat="1" ht="15.6" x14ac:dyDescent="0.3">
      <c r="A30" s="2">
        <v>23</v>
      </c>
      <c r="B30" s="3" t="s">
        <v>66</v>
      </c>
      <c r="E30" s="18" t="s">
        <v>134</v>
      </c>
      <c r="F30" s="18" t="s">
        <v>135</v>
      </c>
      <c r="G30" s="18">
        <v>4</v>
      </c>
      <c r="H30" s="4">
        <v>1200</v>
      </c>
      <c r="I30" s="4">
        <f t="shared" si="0"/>
        <v>4800</v>
      </c>
      <c r="J30" s="5"/>
      <c r="M30" s="51">
        <f t="shared" si="9"/>
        <v>0</v>
      </c>
      <c r="Q30" s="51">
        <f t="shared" si="10"/>
        <v>0</v>
      </c>
      <c r="U30" s="51">
        <f t="shared" si="11"/>
        <v>0</v>
      </c>
      <c r="Y30" s="51">
        <f t="shared" si="12"/>
        <v>0</v>
      </c>
      <c r="AB30" s="52">
        <f t="shared" si="13"/>
        <v>0</v>
      </c>
      <c r="AC30" s="39">
        <f t="shared" si="14"/>
        <v>4</v>
      </c>
      <c r="AD30" s="42">
        <f t="shared" si="15"/>
        <v>4800</v>
      </c>
      <c r="AE30" s="61"/>
    </row>
    <row r="31" spans="1:31" s="3" customFormat="1" ht="15.6" x14ac:dyDescent="0.3">
      <c r="A31" s="2">
        <v>24</v>
      </c>
      <c r="B31" s="3" t="s">
        <v>67</v>
      </c>
      <c r="E31" s="18" t="s">
        <v>134</v>
      </c>
      <c r="F31" s="18" t="s">
        <v>135</v>
      </c>
      <c r="G31" s="18">
        <v>10</v>
      </c>
      <c r="H31" s="4">
        <v>1200</v>
      </c>
      <c r="I31" s="4">
        <f t="shared" si="0"/>
        <v>12000</v>
      </c>
      <c r="J31" s="5"/>
      <c r="M31" s="51">
        <f t="shared" si="9"/>
        <v>0</v>
      </c>
      <c r="Q31" s="51">
        <f t="shared" si="10"/>
        <v>0</v>
      </c>
      <c r="U31" s="51">
        <f t="shared" si="11"/>
        <v>0</v>
      </c>
      <c r="Y31" s="51">
        <f t="shared" si="12"/>
        <v>0</v>
      </c>
      <c r="AB31" s="52">
        <f t="shared" si="13"/>
        <v>0</v>
      </c>
      <c r="AC31" s="39">
        <f t="shared" si="14"/>
        <v>10</v>
      </c>
      <c r="AD31" s="42">
        <f t="shared" si="15"/>
        <v>12000</v>
      </c>
      <c r="AE31" s="61"/>
    </row>
    <row r="32" spans="1:31" s="3" customFormat="1" ht="15.6" x14ac:dyDescent="0.3">
      <c r="A32" s="2">
        <v>25</v>
      </c>
      <c r="B32" s="3" t="s">
        <v>68</v>
      </c>
      <c r="E32" s="18" t="s">
        <v>134</v>
      </c>
      <c r="F32" s="18" t="s">
        <v>135</v>
      </c>
      <c r="G32" s="18">
        <v>2</v>
      </c>
      <c r="H32" s="4">
        <v>1700</v>
      </c>
      <c r="I32" s="4">
        <f t="shared" si="0"/>
        <v>3400</v>
      </c>
      <c r="J32" s="5"/>
      <c r="M32" s="51">
        <f t="shared" si="9"/>
        <v>0</v>
      </c>
      <c r="Q32" s="51">
        <f t="shared" si="10"/>
        <v>0</v>
      </c>
      <c r="U32" s="51">
        <f t="shared" si="11"/>
        <v>0</v>
      </c>
      <c r="Y32" s="51">
        <f t="shared" si="12"/>
        <v>0</v>
      </c>
      <c r="AB32" s="52">
        <f t="shared" si="13"/>
        <v>0</v>
      </c>
      <c r="AC32" s="39">
        <f t="shared" si="14"/>
        <v>2</v>
      </c>
      <c r="AD32" s="42">
        <f t="shared" si="15"/>
        <v>3400</v>
      </c>
      <c r="AE32" s="61"/>
    </row>
    <row r="33" spans="1:31" s="3" customFormat="1" ht="15.6" x14ac:dyDescent="0.3">
      <c r="A33" s="2">
        <v>26</v>
      </c>
      <c r="B33" s="3" t="s">
        <v>69</v>
      </c>
      <c r="E33" s="18" t="s">
        <v>134</v>
      </c>
      <c r="F33" s="18" t="s">
        <v>136</v>
      </c>
      <c r="G33" s="18">
        <v>5000</v>
      </c>
      <c r="H33" s="4">
        <v>6.5</v>
      </c>
      <c r="I33" s="4">
        <f t="shared" si="0"/>
        <v>32500</v>
      </c>
      <c r="J33" s="5"/>
      <c r="M33" s="51">
        <f t="shared" si="9"/>
        <v>0</v>
      </c>
      <c r="Q33" s="51">
        <f t="shared" si="10"/>
        <v>0</v>
      </c>
      <c r="U33" s="51">
        <f t="shared" si="11"/>
        <v>0</v>
      </c>
      <c r="Y33" s="51">
        <f t="shared" si="12"/>
        <v>0</v>
      </c>
      <c r="AB33" s="52">
        <f t="shared" si="13"/>
        <v>0</v>
      </c>
      <c r="AC33" s="39">
        <f t="shared" si="14"/>
        <v>5000</v>
      </c>
      <c r="AD33" s="42">
        <f t="shared" si="15"/>
        <v>32500</v>
      </c>
      <c r="AE33" s="61"/>
    </row>
    <row r="34" spans="1:31" s="3" customFormat="1" ht="15.6" x14ac:dyDescent="0.3">
      <c r="A34" s="2">
        <v>27</v>
      </c>
      <c r="B34" s="3" t="s">
        <v>70</v>
      </c>
      <c r="E34" s="18" t="s">
        <v>134</v>
      </c>
      <c r="F34" s="18" t="s">
        <v>136</v>
      </c>
      <c r="G34" s="18">
        <v>950</v>
      </c>
      <c r="H34" s="4">
        <v>25</v>
      </c>
      <c r="I34" s="4">
        <f t="shared" si="0"/>
        <v>23750</v>
      </c>
      <c r="J34" s="5"/>
      <c r="M34" s="51">
        <f t="shared" si="9"/>
        <v>0</v>
      </c>
      <c r="Q34" s="51">
        <f t="shared" si="10"/>
        <v>0</v>
      </c>
      <c r="U34" s="51">
        <f t="shared" si="11"/>
        <v>0</v>
      </c>
      <c r="Y34" s="51">
        <f t="shared" si="12"/>
        <v>0</v>
      </c>
      <c r="AB34" s="52">
        <f t="shared" si="13"/>
        <v>0</v>
      </c>
      <c r="AC34" s="39">
        <f t="shared" si="14"/>
        <v>950</v>
      </c>
      <c r="AD34" s="42">
        <f t="shared" si="15"/>
        <v>23750</v>
      </c>
      <c r="AE34" s="61"/>
    </row>
    <row r="35" spans="1:31" s="3" customFormat="1" ht="15.6" x14ac:dyDescent="0.3">
      <c r="A35" s="2">
        <v>28</v>
      </c>
      <c r="B35" s="3" t="s">
        <v>71</v>
      </c>
      <c r="E35" s="18" t="s">
        <v>134</v>
      </c>
      <c r="F35" s="18" t="s">
        <v>135</v>
      </c>
      <c r="G35" s="18">
        <v>10</v>
      </c>
      <c r="H35" s="4">
        <v>1200</v>
      </c>
      <c r="I35" s="4">
        <f t="shared" si="0"/>
        <v>12000</v>
      </c>
      <c r="J35" s="5"/>
      <c r="M35" s="51">
        <f t="shared" si="9"/>
        <v>0</v>
      </c>
      <c r="Q35" s="51">
        <f t="shared" si="10"/>
        <v>0</v>
      </c>
      <c r="U35" s="51">
        <f t="shared" si="11"/>
        <v>0</v>
      </c>
      <c r="Y35" s="51">
        <f t="shared" si="12"/>
        <v>0</v>
      </c>
      <c r="AB35" s="52">
        <f t="shared" si="13"/>
        <v>0</v>
      </c>
      <c r="AC35" s="39">
        <f t="shared" si="14"/>
        <v>10</v>
      </c>
      <c r="AD35" s="42">
        <f t="shared" si="15"/>
        <v>12000</v>
      </c>
      <c r="AE35" s="61"/>
    </row>
    <row r="36" spans="1:31" s="3" customFormat="1" ht="15.6" x14ac:dyDescent="0.3">
      <c r="A36" s="2">
        <v>29</v>
      </c>
      <c r="B36" s="3" t="s">
        <v>72</v>
      </c>
      <c r="E36" s="18" t="s">
        <v>134</v>
      </c>
      <c r="F36" s="18" t="s">
        <v>135</v>
      </c>
      <c r="G36" s="18">
        <v>10</v>
      </c>
      <c r="H36" s="4">
        <v>1900</v>
      </c>
      <c r="I36" s="4">
        <f t="shared" si="0"/>
        <v>19000</v>
      </c>
      <c r="J36" s="5"/>
      <c r="M36" s="51">
        <f t="shared" si="9"/>
        <v>0</v>
      </c>
      <c r="Q36" s="51">
        <f t="shared" si="10"/>
        <v>0</v>
      </c>
      <c r="U36" s="51">
        <f t="shared" si="11"/>
        <v>0</v>
      </c>
      <c r="Y36" s="51">
        <f t="shared" si="12"/>
        <v>0</v>
      </c>
      <c r="AB36" s="52">
        <f t="shared" si="13"/>
        <v>0</v>
      </c>
      <c r="AC36" s="39">
        <f t="shared" si="14"/>
        <v>10</v>
      </c>
      <c r="AD36" s="42">
        <f t="shared" si="15"/>
        <v>19000</v>
      </c>
      <c r="AE36" s="61"/>
    </row>
    <row r="37" spans="1:31" s="3" customFormat="1" ht="15.6" x14ac:dyDescent="0.3">
      <c r="A37" s="2">
        <v>30</v>
      </c>
      <c r="B37" s="3" t="s">
        <v>73</v>
      </c>
      <c r="E37" s="18" t="s">
        <v>134</v>
      </c>
      <c r="F37" s="18" t="s">
        <v>135</v>
      </c>
      <c r="G37" s="18">
        <v>4</v>
      </c>
      <c r="H37" s="4">
        <v>12000</v>
      </c>
      <c r="I37" s="4">
        <f t="shared" si="0"/>
        <v>48000</v>
      </c>
      <c r="J37" s="5"/>
      <c r="M37" s="51">
        <f t="shared" si="9"/>
        <v>0</v>
      </c>
      <c r="Q37" s="51">
        <f t="shared" si="10"/>
        <v>0</v>
      </c>
      <c r="U37" s="51">
        <f t="shared" si="11"/>
        <v>0</v>
      </c>
      <c r="Y37" s="51">
        <f t="shared" si="12"/>
        <v>0</v>
      </c>
      <c r="AB37" s="52">
        <f t="shared" si="13"/>
        <v>0</v>
      </c>
      <c r="AC37" s="39">
        <f t="shared" si="14"/>
        <v>4</v>
      </c>
      <c r="AD37" s="42">
        <f t="shared" si="15"/>
        <v>48000</v>
      </c>
      <c r="AE37" s="61"/>
    </row>
    <row r="38" spans="1:31" s="3" customFormat="1" ht="15.6" x14ac:dyDescent="0.3">
      <c r="A38" s="2">
        <v>31</v>
      </c>
      <c r="B38" s="3" t="s">
        <v>74</v>
      </c>
      <c r="E38" s="18" t="s">
        <v>134</v>
      </c>
      <c r="F38" s="18" t="s">
        <v>135</v>
      </c>
      <c r="G38" s="18">
        <v>1500</v>
      </c>
      <c r="H38" s="4">
        <v>620</v>
      </c>
      <c r="I38" s="4">
        <f t="shared" si="0"/>
        <v>930000</v>
      </c>
      <c r="J38" s="5"/>
      <c r="M38" s="51">
        <f t="shared" si="9"/>
        <v>0</v>
      </c>
      <c r="Q38" s="51">
        <f t="shared" si="10"/>
        <v>0</v>
      </c>
      <c r="U38" s="51">
        <f t="shared" si="11"/>
        <v>0</v>
      </c>
      <c r="Y38" s="51">
        <f t="shared" si="12"/>
        <v>0</v>
      </c>
      <c r="AB38" s="52">
        <f t="shared" si="13"/>
        <v>0</v>
      </c>
      <c r="AC38" s="39">
        <f t="shared" si="14"/>
        <v>1500</v>
      </c>
      <c r="AD38" s="42">
        <f t="shared" si="15"/>
        <v>930000</v>
      </c>
      <c r="AE38" s="61"/>
    </row>
    <row r="39" spans="1:31" s="3" customFormat="1" ht="15.6" x14ac:dyDescent="0.3">
      <c r="A39" s="2">
        <v>32</v>
      </c>
      <c r="B39" s="3" t="s">
        <v>75</v>
      </c>
      <c r="E39" s="18" t="s">
        <v>134</v>
      </c>
      <c r="F39" s="18" t="s">
        <v>135</v>
      </c>
      <c r="G39" s="18">
        <v>2</v>
      </c>
      <c r="H39" s="4">
        <v>60000</v>
      </c>
      <c r="I39" s="4">
        <f t="shared" si="0"/>
        <v>120000</v>
      </c>
      <c r="J39" s="5"/>
      <c r="M39" s="51">
        <f t="shared" si="9"/>
        <v>0</v>
      </c>
      <c r="Q39" s="51">
        <f t="shared" si="10"/>
        <v>0</v>
      </c>
      <c r="U39" s="51">
        <f t="shared" si="11"/>
        <v>0</v>
      </c>
      <c r="Y39" s="51">
        <f t="shared" si="12"/>
        <v>0</v>
      </c>
      <c r="AB39" s="52">
        <f t="shared" si="13"/>
        <v>0</v>
      </c>
      <c r="AC39" s="39">
        <f t="shared" si="14"/>
        <v>2</v>
      </c>
      <c r="AD39" s="42">
        <f t="shared" si="15"/>
        <v>120000</v>
      </c>
      <c r="AE39" s="61"/>
    </row>
    <row r="40" spans="1:31" s="3" customFormat="1" ht="15.6" x14ac:dyDescent="0.3">
      <c r="A40" s="2">
        <v>33</v>
      </c>
      <c r="B40" s="3" t="s">
        <v>76</v>
      </c>
      <c r="E40" s="18" t="s">
        <v>134</v>
      </c>
      <c r="F40" s="18" t="s">
        <v>135</v>
      </c>
      <c r="G40" s="18">
        <v>9</v>
      </c>
      <c r="H40" s="4">
        <v>2500</v>
      </c>
      <c r="I40" s="4">
        <f t="shared" si="0"/>
        <v>22500</v>
      </c>
      <c r="J40" s="5"/>
      <c r="M40" s="51">
        <f t="shared" si="9"/>
        <v>0</v>
      </c>
      <c r="Q40" s="51">
        <f t="shared" si="10"/>
        <v>0</v>
      </c>
      <c r="U40" s="51">
        <f t="shared" si="11"/>
        <v>0</v>
      </c>
      <c r="Y40" s="51">
        <f t="shared" si="12"/>
        <v>0</v>
      </c>
      <c r="AB40" s="52">
        <f t="shared" si="13"/>
        <v>0</v>
      </c>
      <c r="AC40" s="39">
        <f t="shared" si="14"/>
        <v>9</v>
      </c>
      <c r="AD40" s="42">
        <f t="shared" si="15"/>
        <v>22500</v>
      </c>
      <c r="AE40" s="61"/>
    </row>
    <row r="41" spans="1:31" s="3" customFormat="1" ht="15.6" x14ac:dyDescent="0.3">
      <c r="A41" s="2">
        <v>34</v>
      </c>
      <c r="B41" s="3" t="s">
        <v>77</v>
      </c>
      <c r="E41" s="18" t="s">
        <v>134</v>
      </c>
      <c r="F41" s="18" t="s">
        <v>135</v>
      </c>
      <c r="G41" s="18">
        <v>4</v>
      </c>
      <c r="H41" s="4">
        <v>1200</v>
      </c>
      <c r="I41" s="4">
        <f t="shared" si="0"/>
        <v>4800</v>
      </c>
      <c r="J41" s="5"/>
      <c r="M41" s="51">
        <f t="shared" si="9"/>
        <v>0</v>
      </c>
      <c r="Q41" s="51">
        <f t="shared" si="10"/>
        <v>0</v>
      </c>
      <c r="U41" s="51">
        <f t="shared" si="11"/>
        <v>0</v>
      </c>
      <c r="Y41" s="51">
        <f t="shared" si="12"/>
        <v>0</v>
      </c>
      <c r="AB41" s="52">
        <f t="shared" si="13"/>
        <v>0</v>
      </c>
      <c r="AC41" s="39">
        <f t="shared" si="14"/>
        <v>4</v>
      </c>
      <c r="AD41" s="42">
        <f t="shared" si="15"/>
        <v>4800</v>
      </c>
      <c r="AE41" s="61"/>
    </row>
    <row r="42" spans="1:31" s="3" customFormat="1" ht="15.6" x14ac:dyDescent="0.3">
      <c r="A42" s="2">
        <v>35</v>
      </c>
      <c r="B42" s="3" t="s">
        <v>78</v>
      </c>
      <c r="E42" s="18" t="s">
        <v>134</v>
      </c>
      <c r="F42" s="18" t="s">
        <v>135</v>
      </c>
      <c r="G42" s="18">
        <v>4</v>
      </c>
      <c r="H42" s="4">
        <v>1200</v>
      </c>
      <c r="I42" s="4">
        <f t="shared" si="0"/>
        <v>4800</v>
      </c>
      <c r="J42" s="5"/>
      <c r="M42" s="51">
        <f t="shared" si="9"/>
        <v>0</v>
      </c>
      <c r="Q42" s="51">
        <f t="shared" si="10"/>
        <v>0</v>
      </c>
      <c r="U42" s="51">
        <f t="shared" si="11"/>
        <v>0</v>
      </c>
      <c r="Y42" s="51">
        <f t="shared" si="12"/>
        <v>0</v>
      </c>
      <c r="AB42" s="52">
        <f t="shared" si="13"/>
        <v>0</v>
      </c>
      <c r="AC42" s="39">
        <f t="shared" si="14"/>
        <v>4</v>
      </c>
      <c r="AD42" s="42">
        <f t="shared" si="15"/>
        <v>4800</v>
      </c>
      <c r="AE42" s="61"/>
    </row>
    <row r="43" spans="1:31" s="3" customFormat="1" ht="15.6" x14ac:dyDescent="0.3">
      <c r="A43" s="2">
        <v>36</v>
      </c>
      <c r="B43" s="3" t="s">
        <v>79</v>
      </c>
      <c r="E43" s="18" t="s">
        <v>134</v>
      </c>
      <c r="F43" s="18" t="s">
        <v>135</v>
      </c>
      <c r="G43" s="18">
        <v>4</v>
      </c>
      <c r="H43" s="4">
        <v>1000</v>
      </c>
      <c r="I43" s="4">
        <f t="shared" si="0"/>
        <v>4000</v>
      </c>
      <c r="J43" s="5"/>
      <c r="M43" s="51">
        <f t="shared" si="9"/>
        <v>0</v>
      </c>
      <c r="Q43" s="51">
        <f t="shared" si="10"/>
        <v>0</v>
      </c>
      <c r="U43" s="51">
        <f t="shared" si="11"/>
        <v>0</v>
      </c>
      <c r="Y43" s="51">
        <f t="shared" si="12"/>
        <v>0</v>
      </c>
      <c r="AB43" s="52">
        <f t="shared" si="13"/>
        <v>0</v>
      </c>
      <c r="AC43" s="39">
        <f t="shared" si="14"/>
        <v>4</v>
      </c>
      <c r="AD43" s="42">
        <f t="shared" si="15"/>
        <v>4000</v>
      </c>
      <c r="AE43" s="61"/>
    </row>
    <row r="44" spans="1:31" s="3" customFormat="1" ht="15.6" x14ac:dyDescent="0.3">
      <c r="A44" s="2">
        <v>37</v>
      </c>
      <c r="B44" s="3" t="s">
        <v>80</v>
      </c>
      <c r="E44" s="18" t="s">
        <v>134</v>
      </c>
      <c r="F44" s="18" t="s">
        <v>135</v>
      </c>
      <c r="G44" s="18">
        <v>4</v>
      </c>
      <c r="H44" s="4">
        <v>1200</v>
      </c>
      <c r="I44" s="4">
        <f t="shared" si="0"/>
        <v>4800</v>
      </c>
      <c r="J44" s="5"/>
      <c r="M44" s="51">
        <f t="shared" si="9"/>
        <v>0</v>
      </c>
      <c r="Q44" s="51">
        <f t="shared" si="10"/>
        <v>0</v>
      </c>
      <c r="U44" s="51">
        <f t="shared" si="11"/>
        <v>0</v>
      </c>
      <c r="Y44" s="51">
        <f t="shared" si="12"/>
        <v>0</v>
      </c>
      <c r="AB44" s="52">
        <f t="shared" si="13"/>
        <v>0</v>
      </c>
      <c r="AC44" s="39">
        <f t="shared" si="14"/>
        <v>4</v>
      </c>
      <c r="AD44" s="42">
        <f t="shared" si="15"/>
        <v>4800</v>
      </c>
      <c r="AE44" s="61"/>
    </row>
    <row r="45" spans="1:31" s="3" customFormat="1" ht="15.6" x14ac:dyDescent="0.3">
      <c r="A45" s="2">
        <v>38</v>
      </c>
      <c r="B45" s="3" t="s">
        <v>81</v>
      </c>
      <c r="E45" s="18" t="s">
        <v>134</v>
      </c>
      <c r="F45" s="18" t="s">
        <v>135</v>
      </c>
      <c r="G45" s="18">
        <v>4</v>
      </c>
      <c r="H45" s="4">
        <v>550</v>
      </c>
      <c r="I45" s="4">
        <f t="shared" si="0"/>
        <v>2200</v>
      </c>
      <c r="J45" s="5"/>
      <c r="M45" s="51">
        <f t="shared" si="9"/>
        <v>0</v>
      </c>
      <c r="Q45" s="51">
        <f t="shared" si="10"/>
        <v>0</v>
      </c>
      <c r="U45" s="51">
        <f t="shared" si="11"/>
        <v>0</v>
      </c>
      <c r="Y45" s="51">
        <f t="shared" si="12"/>
        <v>0</v>
      </c>
      <c r="AB45" s="52">
        <f t="shared" si="13"/>
        <v>0</v>
      </c>
      <c r="AC45" s="39">
        <f t="shared" si="14"/>
        <v>4</v>
      </c>
      <c r="AD45" s="42">
        <f t="shared" si="15"/>
        <v>2200</v>
      </c>
      <c r="AE45" s="61"/>
    </row>
    <row r="46" spans="1:31" s="3" customFormat="1" ht="15.6" x14ac:dyDescent="0.3">
      <c r="A46" s="2">
        <v>39</v>
      </c>
      <c r="B46" s="3" t="s">
        <v>82</v>
      </c>
      <c r="E46" s="18" t="s">
        <v>134</v>
      </c>
      <c r="F46" s="18" t="s">
        <v>135</v>
      </c>
      <c r="G46" s="18">
        <v>4</v>
      </c>
      <c r="H46" s="4">
        <v>450</v>
      </c>
      <c r="I46" s="4">
        <f t="shared" si="0"/>
        <v>1800</v>
      </c>
      <c r="J46" s="5"/>
      <c r="M46" s="51">
        <f t="shared" si="9"/>
        <v>0</v>
      </c>
      <c r="Q46" s="51">
        <f t="shared" si="10"/>
        <v>0</v>
      </c>
      <c r="U46" s="51">
        <f t="shared" si="11"/>
        <v>0</v>
      </c>
      <c r="Y46" s="51">
        <f t="shared" si="12"/>
        <v>0</v>
      </c>
      <c r="AB46" s="52">
        <f t="shared" si="13"/>
        <v>0</v>
      </c>
      <c r="AC46" s="39">
        <f t="shared" si="14"/>
        <v>4</v>
      </c>
      <c r="AD46" s="42">
        <f t="shared" si="15"/>
        <v>1800</v>
      </c>
      <c r="AE46" s="61"/>
    </row>
    <row r="47" spans="1:31" s="3" customFormat="1" ht="15.6" x14ac:dyDescent="0.3">
      <c r="A47" s="2">
        <v>40</v>
      </c>
      <c r="B47" s="3" t="s">
        <v>83</v>
      </c>
      <c r="E47" s="18" t="s">
        <v>134</v>
      </c>
      <c r="F47" s="18" t="s">
        <v>135</v>
      </c>
      <c r="G47" s="18">
        <v>4</v>
      </c>
      <c r="H47" s="4">
        <v>4500</v>
      </c>
      <c r="I47" s="4">
        <f t="shared" si="0"/>
        <v>18000</v>
      </c>
      <c r="J47" s="5"/>
      <c r="M47" s="51">
        <f t="shared" si="9"/>
        <v>0</v>
      </c>
      <c r="Q47" s="51">
        <f t="shared" si="10"/>
        <v>0</v>
      </c>
      <c r="U47" s="51">
        <f t="shared" si="11"/>
        <v>0</v>
      </c>
      <c r="Y47" s="51">
        <f t="shared" si="12"/>
        <v>0</v>
      </c>
      <c r="AB47" s="52">
        <f t="shared" si="13"/>
        <v>0</v>
      </c>
      <c r="AC47" s="39">
        <f t="shared" si="14"/>
        <v>4</v>
      </c>
      <c r="AD47" s="42">
        <f t="shared" si="15"/>
        <v>18000</v>
      </c>
      <c r="AE47" s="61"/>
    </row>
    <row r="48" spans="1:31" s="3" customFormat="1" ht="15.6" x14ac:dyDescent="0.3">
      <c r="A48" s="2">
        <v>41</v>
      </c>
      <c r="B48" s="3" t="s">
        <v>84</v>
      </c>
      <c r="E48" s="18" t="s">
        <v>134</v>
      </c>
      <c r="F48" s="18" t="s">
        <v>136</v>
      </c>
      <c r="G48" s="18">
        <v>6</v>
      </c>
      <c r="H48" s="4">
        <v>120</v>
      </c>
      <c r="I48" s="4">
        <f t="shared" si="0"/>
        <v>720</v>
      </c>
      <c r="J48" s="5"/>
      <c r="M48" s="51">
        <f t="shared" si="9"/>
        <v>0</v>
      </c>
      <c r="Q48" s="51">
        <f t="shared" si="10"/>
        <v>0</v>
      </c>
      <c r="U48" s="51">
        <f t="shared" si="11"/>
        <v>0</v>
      </c>
      <c r="Y48" s="51">
        <f t="shared" si="12"/>
        <v>0</v>
      </c>
      <c r="AB48" s="52">
        <f t="shared" si="13"/>
        <v>0</v>
      </c>
      <c r="AC48" s="39">
        <f t="shared" si="14"/>
        <v>6</v>
      </c>
      <c r="AD48" s="42">
        <f t="shared" si="15"/>
        <v>720</v>
      </c>
      <c r="AE48" s="61"/>
    </row>
    <row r="49" spans="1:31" s="3" customFormat="1" ht="15.6" x14ac:dyDescent="0.3">
      <c r="A49" s="2">
        <v>42</v>
      </c>
      <c r="B49" s="3" t="s">
        <v>85</v>
      </c>
      <c r="E49" s="18" t="s">
        <v>134</v>
      </c>
      <c r="F49" s="18" t="s">
        <v>135</v>
      </c>
      <c r="G49" s="18">
        <v>4</v>
      </c>
      <c r="H49" s="4">
        <v>4650</v>
      </c>
      <c r="I49" s="4">
        <f t="shared" si="0"/>
        <v>18600</v>
      </c>
      <c r="J49" s="5"/>
      <c r="M49" s="51">
        <f t="shared" si="9"/>
        <v>0</v>
      </c>
      <c r="Q49" s="51">
        <f t="shared" si="10"/>
        <v>0</v>
      </c>
      <c r="U49" s="51">
        <f t="shared" si="11"/>
        <v>0</v>
      </c>
      <c r="Y49" s="51">
        <f t="shared" si="12"/>
        <v>0</v>
      </c>
      <c r="AB49" s="52">
        <f t="shared" si="13"/>
        <v>0</v>
      </c>
      <c r="AC49" s="39">
        <f t="shared" si="14"/>
        <v>4</v>
      </c>
      <c r="AD49" s="42">
        <f t="shared" si="15"/>
        <v>18600</v>
      </c>
      <c r="AE49" s="61"/>
    </row>
    <row r="50" spans="1:31" s="3" customFormat="1" ht="15.6" x14ac:dyDescent="0.3">
      <c r="A50" s="2">
        <v>43</v>
      </c>
      <c r="B50" s="3" t="s">
        <v>86</v>
      </c>
      <c r="E50" s="18" t="s">
        <v>134</v>
      </c>
      <c r="F50" s="18" t="s">
        <v>135</v>
      </c>
      <c r="G50" s="18">
        <v>2</v>
      </c>
      <c r="H50" s="4">
        <v>4500</v>
      </c>
      <c r="I50" s="4">
        <f t="shared" si="0"/>
        <v>9000</v>
      </c>
      <c r="J50" s="5"/>
      <c r="M50" s="51">
        <f t="shared" si="9"/>
        <v>0</v>
      </c>
      <c r="Q50" s="51">
        <f t="shared" si="10"/>
        <v>0</v>
      </c>
      <c r="U50" s="51">
        <f t="shared" si="11"/>
        <v>0</v>
      </c>
      <c r="Y50" s="51">
        <f t="shared" si="12"/>
        <v>0</v>
      </c>
      <c r="AB50" s="52">
        <f t="shared" si="13"/>
        <v>0</v>
      </c>
      <c r="AC50" s="39">
        <f t="shared" si="14"/>
        <v>2</v>
      </c>
      <c r="AD50" s="42">
        <f t="shared" si="15"/>
        <v>9000</v>
      </c>
      <c r="AE50" s="61"/>
    </row>
    <row r="51" spans="1:31" s="3" customFormat="1" ht="15.6" x14ac:dyDescent="0.3">
      <c r="A51" s="2">
        <v>44</v>
      </c>
      <c r="B51" s="3" t="s">
        <v>87</v>
      </c>
      <c r="E51" s="18" t="s">
        <v>134</v>
      </c>
      <c r="F51" s="18" t="s">
        <v>135</v>
      </c>
      <c r="G51" s="18">
        <v>2</v>
      </c>
      <c r="H51" s="4">
        <v>4000</v>
      </c>
      <c r="I51" s="4">
        <f t="shared" si="0"/>
        <v>8000</v>
      </c>
      <c r="J51" s="5"/>
      <c r="M51" s="51">
        <f t="shared" si="9"/>
        <v>0</v>
      </c>
      <c r="Q51" s="51">
        <f t="shared" si="10"/>
        <v>0</v>
      </c>
      <c r="U51" s="51">
        <f t="shared" si="11"/>
        <v>0</v>
      </c>
      <c r="Y51" s="51">
        <f t="shared" si="12"/>
        <v>0</v>
      </c>
      <c r="AB51" s="52">
        <f t="shared" si="13"/>
        <v>0</v>
      </c>
      <c r="AC51" s="39">
        <f t="shared" si="14"/>
        <v>2</v>
      </c>
      <c r="AD51" s="42">
        <f t="shared" si="15"/>
        <v>8000</v>
      </c>
      <c r="AE51" s="61"/>
    </row>
    <row r="52" spans="1:31" s="3" customFormat="1" ht="15.6" x14ac:dyDescent="0.3">
      <c r="A52" s="2">
        <v>45</v>
      </c>
      <c r="B52" s="3" t="s">
        <v>88</v>
      </c>
      <c r="E52" s="18" t="s">
        <v>134</v>
      </c>
      <c r="F52" s="18" t="s">
        <v>135</v>
      </c>
      <c r="G52" s="18">
        <v>2</v>
      </c>
      <c r="H52" s="4">
        <v>2500</v>
      </c>
      <c r="I52" s="4">
        <f t="shared" si="0"/>
        <v>5000</v>
      </c>
      <c r="J52" s="5"/>
      <c r="M52" s="51">
        <f t="shared" si="9"/>
        <v>0</v>
      </c>
      <c r="Q52" s="51">
        <f t="shared" si="10"/>
        <v>0</v>
      </c>
      <c r="U52" s="51">
        <f t="shared" si="11"/>
        <v>0</v>
      </c>
      <c r="Y52" s="51">
        <f t="shared" si="12"/>
        <v>0</v>
      </c>
      <c r="AB52" s="52">
        <f t="shared" si="13"/>
        <v>0</v>
      </c>
      <c r="AC52" s="39">
        <f t="shared" si="14"/>
        <v>2</v>
      </c>
      <c r="AD52" s="42">
        <f t="shared" si="15"/>
        <v>5000</v>
      </c>
      <c r="AE52" s="61"/>
    </row>
    <row r="53" spans="1:31" s="3" customFormat="1" ht="15.6" x14ac:dyDescent="0.3">
      <c r="A53" s="2">
        <v>46</v>
      </c>
      <c r="B53" s="3" t="s">
        <v>89</v>
      </c>
      <c r="E53" s="18" t="s">
        <v>134</v>
      </c>
      <c r="F53" s="18" t="s">
        <v>135</v>
      </c>
      <c r="G53" s="18">
        <v>2</v>
      </c>
      <c r="H53" s="4">
        <v>1000</v>
      </c>
      <c r="I53" s="4">
        <f t="shared" si="0"/>
        <v>2000</v>
      </c>
      <c r="J53" s="5"/>
      <c r="M53" s="51">
        <f t="shared" si="9"/>
        <v>0</v>
      </c>
      <c r="Q53" s="51">
        <f t="shared" si="10"/>
        <v>0</v>
      </c>
      <c r="U53" s="51">
        <f t="shared" si="11"/>
        <v>0</v>
      </c>
      <c r="Y53" s="51">
        <f t="shared" si="12"/>
        <v>0</v>
      </c>
      <c r="AB53" s="52">
        <f t="shared" si="13"/>
        <v>0</v>
      </c>
      <c r="AC53" s="39">
        <f t="shared" si="14"/>
        <v>2</v>
      </c>
      <c r="AD53" s="42">
        <f t="shared" si="15"/>
        <v>2000</v>
      </c>
      <c r="AE53" s="61"/>
    </row>
    <row r="54" spans="1:31" s="3" customFormat="1" ht="15.6" x14ac:dyDescent="0.3">
      <c r="A54" s="2">
        <v>47</v>
      </c>
      <c r="B54" s="3" t="s">
        <v>90</v>
      </c>
      <c r="E54" s="18" t="s">
        <v>134</v>
      </c>
      <c r="F54" s="18" t="s">
        <v>135</v>
      </c>
      <c r="G54" s="18">
        <v>2</v>
      </c>
      <c r="H54" s="4">
        <v>1200</v>
      </c>
      <c r="I54" s="4">
        <f t="shared" si="0"/>
        <v>2400</v>
      </c>
      <c r="J54" s="5"/>
      <c r="M54" s="51">
        <f t="shared" si="9"/>
        <v>0</v>
      </c>
      <c r="Q54" s="51">
        <f t="shared" si="10"/>
        <v>0</v>
      </c>
      <c r="U54" s="51">
        <f t="shared" si="11"/>
        <v>0</v>
      </c>
      <c r="Y54" s="51">
        <f t="shared" si="12"/>
        <v>0</v>
      </c>
      <c r="AB54" s="52">
        <f t="shared" si="13"/>
        <v>0</v>
      </c>
      <c r="AC54" s="39">
        <f t="shared" si="14"/>
        <v>2</v>
      </c>
      <c r="AD54" s="42">
        <f t="shared" si="15"/>
        <v>2400</v>
      </c>
      <c r="AE54" s="61"/>
    </row>
    <row r="55" spans="1:31" s="3" customFormat="1" ht="15.6" x14ac:dyDescent="0.3">
      <c r="A55" s="2">
        <v>48</v>
      </c>
      <c r="B55" s="3" t="s">
        <v>91</v>
      </c>
      <c r="E55" s="18" t="s">
        <v>134</v>
      </c>
      <c r="F55" s="18" t="s">
        <v>135</v>
      </c>
      <c r="G55" s="18">
        <v>2</v>
      </c>
      <c r="H55" s="4">
        <v>5250</v>
      </c>
      <c r="I55" s="4">
        <f t="shared" si="0"/>
        <v>10500</v>
      </c>
      <c r="J55" s="5"/>
      <c r="M55" s="51">
        <f t="shared" si="9"/>
        <v>0</v>
      </c>
      <c r="Q55" s="51">
        <f t="shared" si="10"/>
        <v>0</v>
      </c>
      <c r="U55" s="51">
        <f t="shared" si="11"/>
        <v>0</v>
      </c>
      <c r="Y55" s="51">
        <f t="shared" si="12"/>
        <v>0</v>
      </c>
      <c r="AB55" s="52">
        <f t="shared" si="13"/>
        <v>0</v>
      </c>
      <c r="AC55" s="39">
        <f t="shared" si="14"/>
        <v>2</v>
      </c>
      <c r="AD55" s="42">
        <f t="shared" si="15"/>
        <v>10500</v>
      </c>
      <c r="AE55" s="61"/>
    </row>
    <row r="56" spans="1:31" s="3" customFormat="1" ht="15.6" x14ac:dyDescent="0.3">
      <c r="A56" s="2">
        <v>49</v>
      </c>
      <c r="B56" s="3" t="s">
        <v>92</v>
      </c>
      <c r="E56" s="18" t="s">
        <v>134</v>
      </c>
      <c r="F56" s="18" t="s">
        <v>135</v>
      </c>
      <c r="G56" s="18">
        <v>2</v>
      </c>
      <c r="H56" s="4">
        <v>8000</v>
      </c>
      <c r="I56" s="4">
        <f t="shared" si="0"/>
        <v>16000</v>
      </c>
      <c r="J56" s="5"/>
      <c r="M56" s="51">
        <f t="shared" si="9"/>
        <v>0</v>
      </c>
      <c r="Q56" s="51">
        <f t="shared" si="10"/>
        <v>0</v>
      </c>
      <c r="U56" s="51">
        <f t="shared" si="11"/>
        <v>0</v>
      </c>
      <c r="Y56" s="51">
        <f t="shared" si="12"/>
        <v>0</v>
      </c>
      <c r="AB56" s="52">
        <f t="shared" si="13"/>
        <v>0</v>
      </c>
      <c r="AC56" s="39">
        <f t="shared" si="14"/>
        <v>2</v>
      </c>
      <c r="AD56" s="42">
        <f t="shared" si="15"/>
        <v>16000</v>
      </c>
      <c r="AE56" s="61"/>
    </row>
    <row r="57" spans="1:31" s="3" customFormat="1" ht="15.6" x14ac:dyDescent="0.3">
      <c r="A57" s="2">
        <v>50</v>
      </c>
      <c r="B57" s="3" t="s">
        <v>93</v>
      </c>
      <c r="E57" s="18" t="s">
        <v>134</v>
      </c>
      <c r="F57" s="18" t="s">
        <v>135</v>
      </c>
      <c r="G57" s="18">
        <v>2</v>
      </c>
      <c r="H57" s="4">
        <v>4500</v>
      </c>
      <c r="I57" s="4">
        <f t="shared" si="0"/>
        <v>9000</v>
      </c>
      <c r="J57" s="5"/>
      <c r="M57" s="51">
        <f t="shared" si="9"/>
        <v>0</v>
      </c>
      <c r="Q57" s="51">
        <f t="shared" si="10"/>
        <v>0</v>
      </c>
      <c r="U57" s="51">
        <f t="shared" si="11"/>
        <v>0</v>
      </c>
      <c r="Y57" s="51">
        <f t="shared" si="12"/>
        <v>0</v>
      </c>
      <c r="AB57" s="52">
        <f t="shared" si="13"/>
        <v>0</v>
      </c>
      <c r="AC57" s="39">
        <f t="shared" si="14"/>
        <v>2</v>
      </c>
      <c r="AD57" s="42">
        <f t="shared" si="15"/>
        <v>9000</v>
      </c>
      <c r="AE57" s="61"/>
    </row>
    <row r="58" spans="1:31" s="3" customFormat="1" ht="15.6" x14ac:dyDescent="0.3">
      <c r="A58" s="2">
        <v>51</v>
      </c>
      <c r="B58" s="3" t="s">
        <v>94</v>
      </c>
      <c r="E58" s="18" t="s">
        <v>134</v>
      </c>
      <c r="F58" s="18" t="s">
        <v>135</v>
      </c>
      <c r="G58" s="18">
        <v>35</v>
      </c>
      <c r="H58" s="4">
        <v>65</v>
      </c>
      <c r="I58" s="4">
        <f t="shared" si="0"/>
        <v>2275</v>
      </c>
      <c r="J58" s="5"/>
      <c r="M58" s="51">
        <f t="shared" si="9"/>
        <v>0</v>
      </c>
      <c r="Q58" s="51">
        <f t="shared" si="10"/>
        <v>0</v>
      </c>
      <c r="U58" s="51">
        <f t="shared" si="11"/>
        <v>0</v>
      </c>
      <c r="Y58" s="51">
        <f t="shared" si="12"/>
        <v>0</v>
      </c>
      <c r="AB58" s="52">
        <f t="shared" si="13"/>
        <v>0</v>
      </c>
      <c r="AC58" s="39">
        <f t="shared" si="14"/>
        <v>35</v>
      </c>
      <c r="AD58" s="42">
        <f t="shared" si="15"/>
        <v>2275</v>
      </c>
      <c r="AE58" s="61"/>
    </row>
    <row r="59" spans="1:31" s="3" customFormat="1" ht="15.6" x14ac:dyDescent="0.3">
      <c r="A59" s="2">
        <v>52</v>
      </c>
      <c r="B59" s="3" t="s">
        <v>95</v>
      </c>
      <c r="E59" s="18" t="s">
        <v>134</v>
      </c>
      <c r="F59" s="18" t="s">
        <v>135</v>
      </c>
      <c r="G59" s="18">
        <v>40</v>
      </c>
      <c r="H59" s="4">
        <v>250</v>
      </c>
      <c r="I59" s="4">
        <f t="shared" si="0"/>
        <v>10000</v>
      </c>
      <c r="J59" s="5"/>
      <c r="M59" s="51">
        <f t="shared" si="9"/>
        <v>0</v>
      </c>
      <c r="Q59" s="51">
        <f t="shared" si="10"/>
        <v>0</v>
      </c>
      <c r="U59" s="51">
        <f t="shared" si="11"/>
        <v>0</v>
      </c>
      <c r="Y59" s="51">
        <f t="shared" si="12"/>
        <v>0</v>
      </c>
      <c r="AB59" s="52">
        <f t="shared" si="13"/>
        <v>0</v>
      </c>
      <c r="AC59" s="39">
        <f t="shared" si="14"/>
        <v>40</v>
      </c>
      <c r="AD59" s="42">
        <f t="shared" si="15"/>
        <v>10000</v>
      </c>
      <c r="AE59" s="61"/>
    </row>
    <row r="60" spans="1:31" s="3" customFormat="1" ht="15.6" x14ac:dyDescent="0.3">
      <c r="A60" s="2">
        <v>53</v>
      </c>
      <c r="B60" s="3" t="s">
        <v>96</v>
      </c>
      <c r="E60" s="18" t="s">
        <v>134</v>
      </c>
      <c r="F60" s="18" t="s">
        <v>135</v>
      </c>
      <c r="G60" s="18">
        <v>40</v>
      </c>
      <c r="H60" s="4">
        <v>3000</v>
      </c>
      <c r="I60" s="4">
        <f t="shared" si="0"/>
        <v>120000</v>
      </c>
      <c r="J60" s="5"/>
      <c r="M60" s="51">
        <f t="shared" si="9"/>
        <v>0</v>
      </c>
      <c r="Q60" s="51">
        <f t="shared" si="10"/>
        <v>0</v>
      </c>
      <c r="U60" s="51">
        <f t="shared" si="11"/>
        <v>0</v>
      </c>
      <c r="Y60" s="51">
        <f t="shared" si="12"/>
        <v>0</v>
      </c>
      <c r="AB60" s="52">
        <f t="shared" si="13"/>
        <v>0</v>
      </c>
      <c r="AC60" s="39">
        <f t="shared" si="14"/>
        <v>40</v>
      </c>
      <c r="AD60" s="42">
        <f t="shared" si="15"/>
        <v>120000</v>
      </c>
      <c r="AE60" s="61"/>
    </row>
    <row r="61" spans="1:31" s="3" customFormat="1" ht="15.6" x14ac:dyDescent="0.3">
      <c r="A61" s="2">
        <v>54</v>
      </c>
      <c r="B61" s="3" t="s">
        <v>97</v>
      </c>
      <c r="E61" s="18" t="s">
        <v>134</v>
      </c>
      <c r="F61" s="18" t="s">
        <v>135</v>
      </c>
      <c r="G61" s="18">
        <v>40</v>
      </c>
      <c r="H61" s="4">
        <v>55</v>
      </c>
      <c r="I61" s="4">
        <f t="shared" si="0"/>
        <v>2200</v>
      </c>
      <c r="J61" s="5"/>
      <c r="M61" s="51">
        <f t="shared" si="9"/>
        <v>0</v>
      </c>
      <c r="Q61" s="51">
        <f t="shared" si="10"/>
        <v>0</v>
      </c>
      <c r="U61" s="51">
        <f t="shared" si="11"/>
        <v>0</v>
      </c>
      <c r="Y61" s="51">
        <f t="shared" si="12"/>
        <v>0</v>
      </c>
      <c r="AB61" s="52">
        <f t="shared" si="13"/>
        <v>0</v>
      </c>
      <c r="AC61" s="39">
        <f t="shared" si="14"/>
        <v>40</v>
      </c>
      <c r="AD61" s="42">
        <f t="shared" si="15"/>
        <v>2200</v>
      </c>
      <c r="AE61" s="61"/>
    </row>
    <row r="62" spans="1:31" s="3" customFormat="1" ht="15.6" x14ac:dyDescent="0.3">
      <c r="A62" s="2">
        <v>55</v>
      </c>
      <c r="B62" s="3" t="s">
        <v>98</v>
      </c>
      <c r="E62" s="18" t="s">
        <v>134</v>
      </c>
      <c r="F62" s="18" t="s">
        <v>135</v>
      </c>
      <c r="G62" s="18">
        <v>4</v>
      </c>
      <c r="H62" s="4">
        <v>3000</v>
      </c>
      <c r="I62" s="4">
        <f t="shared" si="0"/>
        <v>12000</v>
      </c>
      <c r="J62" s="5"/>
      <c r="M62" s="51">
        <f t="shared" si="9"/>
        <v>0</v>
      </c>
      <c r="Q62" s="51">
        <f t="shared" si="10"/>
        <v>0</v>
      </c>
      <c r="U62" s="51">
        <f t="shared" si="11"/>
        <v>0</v>
      </c>
      <c r="Y62" s="51">
        <f t="shared" si="12"/>
        <v>0</v>
      </c>
      <c r="AB62" s="52">
        <f t="shared" si="13"/>
        <v>0</v>
      </c>
      <c r="AC62" s="39">
        <f t="shared" si="14"/>
        <v>4</v>
      </c>
      <c r="AD62" s="42">
        <f t="shared" si="15"/>
        <v>12000</v>
      </c>
      <c r="AE62" s="61"/>
    </row>
    <row r="63" spans="1:31" s="3" customFormat="1" ht="15.6" x14ac:dyDescent="0.3">
      <c r="A63" s="2">
        <v>56</v>
      </c>
      <c r="B63" s="3" t="s">
        <v>99</v>
      </c>
      <c r="E63" s="18" t="s">
        <v>134</v>
      </c>
      <c r="F63" s="18" t="s">
        <v>135</v>
      </c>
      <c r="G63" s="18">
        <v>6</v>
      </c>
      <c r="H63" s="4">
        <v>450</v>
      </c>
      <c r="I63" s="4">
        <f t="shared" si="0"/>
        <v>2700</v>
      </c>
      <c r="J63" s="5"/>
      <c r="M63" s="51">
        <f t="shared" si="9"/>
        <v>0</v>
      </c>
      <c r="Q63" s="51">
        <f t="shared" si="10"/>
        <v>0</v>
      </c>
      <c r="U63" s="51">
        <f t="shared" si="11"/>
        <v>0</v>
      </c>
      <c r="Y63" s="51">
        <f t="shared" si="12"/>
        <v>0</v>
      </c>
      <c r="AB63" s="52">
        <f t="shared" si="13"/>
        <v>0</v>
      </c>
      <c r="AC63" s="39">
        <f t="shared" si="14"/>
        <v>6</v>
      </c>
      <c r="AD63" s="42">
        <f t="shared" si="15"/>
        <v>2700</v>
      </c>
      <c r="AE63" s="61"/>
    </row>
    <row r="64" spans="1:31" s="3" customFormat="1" ht="15.6" x14ac:dyDescent="0.3">
      <c r="A64" s="2">
        <v>57</v>
      </c>
      <c r="B64" s="3" t="s">
        <v>100</v>
      </c>
      <c r="E64" s="18" t="s">
        <v>134</v>
      </c>
      <c r="F64" s="18" t="s">
        <v>135</v>
      </c>
      <c r="G64" s="18">
        <v>2</v>
      </c>
      <c r="H64" s="4">
        <v>1250</v>
      </c>
      <c r="I64" s="4">
        <f t="shared" si="0"/>
        <v>2500</v>
      </c>
      <c r="J64" s="5"/>
      <c r="M64" s="51">
        <f t="shared" si="9"/>
        <v>0</v>
      </c>
      <c r="Q64" s="51">
        <f t="shared" si="10"/>
        <v>0</v>
      </c>
      <c r="U64" s="51">
        <f t="shared" si="11"/>
        <v>0</v>
      </c>
      <c r="Y64" s="51">
        <f t="shared" si="12"/>
        <v>0</v>
      </c>
      <c r="AB64" s="52">
        <f t="shared" si="13"/>
        <v>0</v>
      </c>
      <c r="AC64" s="39">
        <f t="shared" si="14"/>
        <v>2</v>
      </c>
      <c r="AD64" s="42">
        <f t="shared" si="15"/>
        <v>2500</v>
      </c>
      <c r="AE64" s="61"/>
    </row>
    <row r="65" spans="1:31" s="3" customFormat="1" ht="15.6" x14ac:dyDescent="0.3">
      <c r="A65" s="2">
        <v>58</v>
      </c>
      <c r="B65" s="3" t="s">
        <v>101</v>
      </c>
      <c r="E65" s="18" t="s">
        <v>134</v>
      </c>
      <c r="F65" s="18" t="s">
        <v>135</v>
      </c>
      <c r="G65" s="18">
        <v>2</v>
      </c>
      <c r="H65" s="4">
        <v>900</v>
      </c>
      <c r="I65" s="4">
        <f t="shared" si="0"/>
        <v>1800</v>
      </c>
      <c r="J65" s="5"/>
      <c r="M65" s="51">
        <f t="shared" si="9"/>
        <v>0</v>
      </c>
      <c r="Q65" s="51">
        <f t="shared" si="10"/>
        <v>0</v>
      </c>
      <c r="U65" s="51">
        <f t="shared" si="11"/>
        <v>0</v>
      </c>
      <c r="Y65" s="51">
        <f t="shared" si="12"/>
        <v>0</v>
      </c>
      <c r="AB65" s="52">
        <f t="shared" si="13"/>
        <v>0</v>
      </c>
      <c r="AC65" s="39">
        <f t="shared" si="14"/>
        <v>2</v>
      </c>
      <c r="AD65" s="42">
        <f t="shared" si="15"/>
        <v>1800</v>
      </c>
      <c r="AE65" s="61"/>
    </row>
    <row r="66" spans="1:31" s="3" customFormat="1" ht="15.6" x14ac:dyDescent="0.3">
      <c r="A66" s="2">
        <v>59</v>
      </c>
      <c r="B66" s="3" t="s">
        <v>102</v>
      </c>
      <c r="E66" s="18" t="s">
        <v>134</v>
      </c>
      <c r="F66" s="18" t="s">
        <v>135</v>
      </c>
      <c r="G66" s="18">
        <v>10</v>
      </c>
      <c r="H66" s="4">
        <v>15</v>
      </c>
      <c r="I66" s="4">
        <f t="shared" si="0"/>
        <v>150</v>
      </c>
      <c r="J66" s="5"/>
      <c r="M66" s="51">
        <f t="shared" si="9"/>
        <v>0</v>
      </c>
      <c r="Q66" s="51">
        <f t="shared" si="10"/>
        <v>0</v>
      </c>
      <c r="U66" s="51">
        <f t="shared" si="11"/>
        <v>0</v>
      </c>
      <c r="Y66" s="51">
        <f t="shared" si="12"/>
        <v>0</v>
      </c>
      <c r="AB66" s="52">
        <f t="shared" si="13"/>
        <v>0</v>
      </c>
      <c r="AC66" s="39">
        <f t="shared" si="14"/>
        <v>10</v>
      </c>
      <c r="AD66" s="42">
        <f t="shared" si="15"/>
        <v>150</v>
      </c>
      <c r="AE66" s="61"/>
    </row>
    <row r="67" spans="1:31" s="3" customFormat="1" ht="15.6" x14ac:dyDescent="0.3">
      <c r="A67" s="2">
        <v>60</v>
      </c>
      <c r="B67" s="3" t="s">
        <v>103</v>
      </c>
      <c r="E67" s="18" t="s">
        <v>134</v>
      </c>
      <c r="F67" s="18" t="s">
        <v>135</v>
      </c>
      <c r="G67" s="18">
        <v>20</v>
      </c>
      <c r="H67" s="4">
        <v>35</v>
      </c>
      <c r="I67" s="4">
        <f t="shared" si="0"/>
        <v>700</v>
      </c>
      <c r="J67" s="5"/>
      <c r="M67" s="51">
        <f t="shared" si="9"/>
        <v>0</v>
      </c>
      <c r="Q67" s="51">
        <f t="shared" si="10"/>
        <v>0</v>
      </c>
      <c r="U67" s="51">
        <f t="shared" si="11"/>
        <v>0</v>
      </c>
      <c r="Y67" s="51">
        <f t="shared" si="12"/>
        <v>0</v>
      </c>
      <c r="AB67" s="52">
        <f t="shared" si="13"/>
        <v>0</v>
      </c>
      <c r="AC67" s="39">
        <f t="shared" si="14"/>
        <v>20</v>
      </c>
      <c r="AD67" s="42">
        <f t="shared" si="15"/>
        <v>700</v>
      </c>
      <c r="AE67" s="61"/>
    </row>
    <row r="68" spans="1:31" s="3" customFormat="1" ht="15.6" x14ac:dyDescent="0.3">
      <c r="A68" s="2">
        <v>61</v>
      </c>
      <c r="B68" s="3" t="s">
        <v>104</v>
      </c>
      <c r="E68" s="18" t="s">
        <v>134</v>
      </c>
      <c r="F68" s="18" t="s">
        <v>135</v>
      </c>
      <c r="G68" s="18">
        <v>4</v>
      </c>
      <c r="H68" s="4">
        <v>6500</v>
      </c>
      <c r="I68" s="4">
        <f t="shared" si="0"/>
        <v>26000</v>
      </c>
      <c r="J68" s="5"/>
      <c r="M68" s="51">
        <f t="shared" si="9"/>
        <v>0</v>
      </c>
      <c r="Q68" s="51">
        <f t="shared" si="10"/>
        <v>0</v>
      </c>
      <c r="U68" s="51">
        <f t="shared" si="11"/>
        <v>0</v>
      </c>
      <c r="Y68" s="51">
        <f t="shared" si="12"/>
        <v>0</v>
      </c>
      <c r="AB68" s="52">
        <f t="shared" si="13"/>
        <v>0</v>
      </c>
      <c r="AC68" s="39">
        <f t="shared" si="14"/>
        <v>4</v>
      </c>
      <c r="AD68" s="42">
        <f t="shared" si="15"/>
        <v>26000</v>
      </c>
      <c r="AE68" s="61"/>
    </row>
    <row r="69" spans="1:31" s="3" customFormat="1" ht="15.6" x14ac:dyDescent="0.3">
      <c r="A69" s="2">
        <v>62</v>
      </c>
      <c r="B69" s="3" t="s">
        <v>105</v>
      </c>
      <c r="E69" s="18" t="s">
        <v>134</v>
      </c>
      <c r="F69" s="18" t="s">
        <v>135</v>
      </c>
      <c r="G69" s="18">
        <v>10</v>
      </c>
      <c r="H69" s="4">
        <v>145</v>
      </c>
      <c r="I69" s="4">
        <f t="shared" si="0"/>
        <v>1450</v>
      </c>
      <c r="J69" s="5"/>
      <c r="M69" s="51">
        <f t="shared" si="9"/>
        <v>0</v>
      </c>
      <c r="Q69" s="51">
        <f t="shared" si="10"/>
        <v>0</v>
      </c>
      <c r="U69" s="51">
        <f t="shared" si="11"/>
        <v>0</v>
      </c>
      <c r="Y69" s="51">
        <f t="shared" si="12"/>
        <v>0</v>
      </c>
      <c r="AB69" s="52">
        <f t="shared" si="13"/>
        <v>0</v>
      </c>
      <c r="AC69" s="39">
        <f t="shared" si="14"/>
        <v>10</v>
      </c>
      <c r="AD69" s="42">
        <f t="shared" si="15"/>
        <v>1450</v>
      </c>
      <c r="AE69" s="61"/>
    </row>
    <row r="70" spans="1:31" s="3" customFormat="1" ht="15.6" x14ac:dyDescent="0.3">
      <c r="A70" s="2">
        <v>63</v>
      </c>
      <c r="B70" s="3" t="s">
        <v>106</v>
      </c>
      <c r="E70" s="18" t="s">
        <v>134</v>
      </c>
      <c r="F70" s="18" t="s">
        <v>135</v>
      </c>
      <c r="G70" s="18">
        <v>4</v>
      </c>
      <c r="H70" s="4">
        <v>45</v>
      </c>
      <c r="I70" s="4">
        <f t="shared" si="0"/>
        <v>180</v>
      </c>
      <c r="J70" s="5"/>
      <c r="M70" s="51">
        <f t="shared" si="9"/>
        <v>0</v>
      </c>
      <c r="Q70" s="51">
        <f t="shared" si="10"/>
        <v>0</v>
      </c>
      <c r="U70" s="51">
        <f t="shared" si="11"/>
        <v>0</v>
      </c>
      <c r="Y70" s="51">
        <f t="shared" si="12"/>
        <v>0</v>
      </c>
      <c r="AB70" s="52">
        <f t="shared" si="13"/>
        <v>0</v>
      </c>
      <c r="AC70" s="39">
        <f t="shared" si="14"/>
        <v>4</v>
      </c>
      <c r="AD70" s="42">
        <f t="shared" si="15"/>
        <v>180</v>
      </c>
      <c r="AE70" s="61"/>
    </row>
    <row r="71" spans="1:31" s="3" customFormat="1" ht="15.6" x14ac:dyDescent="0.3">
      <c r="A71" s="2">
        <v>64</v>
      </c>
      <c r="B71" s="3" t="s">
        <v>107</v>
      </c>
      <c r="E71" s="18" t="s">
        <v>134</v>
      </c>
      <c r="F71" s="18" t="s">
        <v>135</v>
      </c>
      <c r="G71" s="18">
        <v>4</v>
      </c>
      <c r="H71" s="4">
        <v>125</v>
      </c>
      <c r="I71" s="4">
        <f t="shared" si="0"/>
        <v>500</v>
      </c>
      <c r="J71" s="5"/>
      <c r="M71" s="51">
        <f t="shared" si="9"/>
        <v>0</v>
      </c>
      <c r="Q71" s="51">
        <f t="shared" si="10"/>
        <v>0</v>
      </c>
      <c r="U71" s="51">
        <f t="shared" si="11"/>
        <v>0</v>
      </c>
      <c r="Y71" s="51">
        <f t="shared" si="12"/>
        <v>0</v>
      </c>
      <c r="AB71" s="52">
        <f t="shared" si="13"/>
        <v>0</v>
      </c>
      <c r="AC71" s="39">
        <f t="shared" si="14"/>
        <v>4</v>
      </c>
      <c r="AD71" s="42">
        <f t="shared" si="15"/>
        <v>500</v>
      </c>
      <c r="AE71" s="61"/>
    </row>
    <row r="72" spans="1:31" s="3" customFormat="1" ht="15.6" x14ac:dyDescent="0.3">
      <c r="A72" s="2">
        <v>65</v>
      </c>
      <c r="B72" s="3" t="s">
        <v>108</v>
      </c>
      <c r="E72" s="18" t="s">
        <v>134</v>
      </c>
      <c r="F72" s="18" t="s">
        <v>135</v>
      </c>
      <c r="G72" s="18">
        <v>4</v>
      </c>
      <c r="H72" s="4">
        <v>3500</v>
      </c>
      <c r="I72" s="4">
        <f t="shared" si="0"/>
        <v>14000</v>
      </c>
      <c r="J72" s="5"/>
      <c r="M72" s="51">
        <f t="shared" si="9"/>
        <v>0</v>
      </c>
      <c r="Q72" s="51">
        <f t="shared" si="10"/>
        <v>0</v>
      </c>
      <c r="U72" s="51">
        <f t="shared" si="11"/>
        <v>0</v>
      </c>
      <c r="Y72" s="51">
        <f t="shared" si="12"/>
        <v>0</v>
      </c>
      <c r="AB72" s="52">
        <f t="shared" si="13"/>
        <v>0</v>
      </c>
      <c r="AC72" s="39">
        <f t="shared" si="14"/>
        <v>4</v>
      </c>
      <c r="AD72" s="42">
        <f t="shared" si="15"/>
        <v>14000</v>
      </c>
      <c r="AE72" s="61"/>
    </row>
    <row r="73" spans="1:31" s="3" customFormat="1" ht="15.6" x14ac:dyDescent="0.3">
      <c r="A73" s="2">
        <v>66</v>
      </c>
      <c r="B73" s="3" t="s">
        <v>109</v>
      </c>
      <c r="E73" s="18" t="s">
        <v>134</v>
      </c>
      <c r="F73" s="18" t="s">
        <v>135</v>
      </c>
      <c r="G73" s="18">
        <v>10</v>
      </c>
      <c r="H73" s="4">
        <v>2000</v>
      </c>
      <c r="I73" s="4">
        <f t="shared" si="0"/>
        <v>20000</v>
      </c>
      <c r="J73" s="5"/>
      <c r="M73" s="51">
        <f t="shared" si="9"/>
        <v>0</v>
      </c>
      <c r="Q73" s="51">
        <f t="shared" si="10"/>
        <v>0</v>
      </c>
      <c r="U73" s="51">
        <f t="shared" si="11"/>
        <v>0</v>
      </c>
      <c r="Y73" s="51">
        <f t="shared" si="12"/>
        <v>0</v>
      </c>
      <c r="AB73" s="52">
        <f t="shared" si="13"/>
        <v>0</v>
      </c>
      <c r="AC73" s="39">
        <f t="shared" si="14"/>
        <v>10</v>
      </c>
      <c r="AD73" s="42">
        <f t="shared" si="15"/>
        <v>20000</v>
      </c>
      <c r="AE73" s="61"/>
    </row>
    <row r="74" spans="1:31" s="3" customFormat="1" ht="15.6" x14ac:dyDescent="0.3">
      <c r="A74" s="2">
        <v>67</v>
      </c>
      <c r="B74" s="3" t="s">
        <v>110</v>
      </c>
      <c r="E74" s="18" t="s">
        <v>134</v>
      </c>
      <c r="F74" s="18" t="s">
        <v>135</v>
      </c>
      <c r="G74" s="18">
        <v>4</v>
      </c>
      <c r="H74" s="4">
        <v>4300</v>
      </c>
      <c r="I74" s="4">
        <f t="shared" si="0"/>
        <v>17200</v>
      </c>
      <c r="J74" s="5"/>
      <c r="M74" s="51">
        <f t="shared" si="9"/>
        <v>0</v>
      </c>
      <c r="Q74" s="51">
        <f t="shared" si="10"/>
        <v>0</v>
      </c>
      <c r="U74" s="51">
        <f t="shared" si="11"/>
        <v>0</v>
      </c>
      <c r="Y74" s="51">
        <f t="shared" si="12"/>
        <v>0</v>
      </c>
      <c r="AB74" s="52">
        <f t="shared" si="13"/>
        <v>0</v>
      </c>
      <c r="AC74" s="39">
        <f t="shared" si="14"/>
        <v>4</v>
      </c>
      <c r="AD74" s="42">
        <f t="shared" si="15"/>
        <v>17200</v>
      </c>
      <c r="AE74" s="61"/>
    </row>
    <row r="75" spans="1:31" s="3" customFormat="1" ht="15.6" x14ac:dyDescent="0.3">
      <c r="A75" s="2">
        <v>68</v>
      </c>
      <c r="B75" s="3" t="s">
        <v>111</v>
      </c>
      <c r="E75" s="18" t="s">
        <v>134</v>
      </c>
      <c r="F75" s="18" t="s">
        <v>135</v>
      </c>
      <c r="G75" s="18">
        <v>4</v>
      </c>
      <c r="H75" s="4">
        <v>5400</v>
      </c>
      <c r="I75" s="4">
        <f t="shared" si="0"/>
        <v>21600</v>
      </c>
      <c r="J75" s="5"/>
      <c r="M75" s="51">
        <f t="shared" si="9"/>
        <v>0</v>
      </c>
      <c r="Q75" s="51">
        <f t="shared" si="10"/>
        <v>0</v>
      </c>
      <c r="U75" s="51">
        <f t="shared" si="11"/>
        <v>0</v>
      </c>
      <c r="Y75" s="51">
        <f t="shared" si="12"/>
        <v>0</v>
      </c>
      <c r="AB75" s="52">
        <f t="shared" si="13"/>
        <v>0</v>
      </c>
      <c r="AC75" s="39">
        <f t="shared" si="14"/>
        <v>4</v>
      </c>
      <c r="AD75" s="42">
        <f t="shared" si="15"/>
        <v>21600</v>
      </c>
      <c r="AE75" s="61"/>
    </row>
    <row r="76" spans="1:31" s="3" customFormat="1" ht="15.6" x14ac:dyDescent="0.3">
      <c r="A76" s="2">
        <v>69</v>
      </c>
      <c r="B76" s="3" t="s">
        <v>112</v>
      </c>
      <c r="E76" s="18" t="s">
        <v>134</v>
      </c>
      <c r="F76" s="18" t="s">
        <v>135</v>
      </c>
      <c r="G76" s="18">
        <v>50</v>
      </c>
      <c r="H76" s="4">
        <v>104</v>
      </c>
      <c r="I76" s="4">
        <f t="shared" si="0"/>
        <v>5200</v>
      </c>
      <c r="J76" s="5"/>
      <c r="M76" s="51">
        <f t="shared" si="9"/>
        <v>0</v>
      </c>
      <c r="Q76" s="51">
        <f t="shared" si="10"/>
        <v>0</v>
      </c>
      <c r="U76" s="51">
        <f t="shared" si="11"/>
        <v>0</v>
      </c>
      <c r="Y76" s="51">
        <f t="shared" si="12"/>
        <v>0</v>
      </c>
      <c r="AB76" s="52">
        <f t="shared" si="13"/>
        <v>0</v>
      </c>
      <c r="AC76" s="39">
        <f t="shared" si="14"/>
        <v>50</v>
      </c>
      <c r="AD76" s="42">
        <f t="shared" si="15"/>
        <v>5200</v>
      </c>
      <c r="AE76" s="61"/>
    </row>
    <row r="77" spans="1:31" s="3" customFormat="1" ht="15.6" x14ac:dyDescent="0.3">
      <c r="A77" s="2">
        <v>70</v>
      </c>
      <c r="B77" s="3" t="s">
        <v>113</v>
      </c>
      <c r="E77" s="18" t="s">
        <v>134</v>
      </c>
      <c r="F77" s="18" t="s">
        <v>135</v>
      </c>
      <c r="G77" s="18">
        <v>4</v>
      </c>
      <c r="H77" s="4">
        <v>1400</v>
      </c>
      <c r="I77" s="4">
        <f t="shared" si="0"/>
        <v>5600</v>
      </c>
      <c r="J77" s="5"/>
      <c r="M77" s="51">
        <f t="shared" si="9"/>
        <v>0</v>
      </c>
      <c r="Q77" s="51">
        <f t="shared" si="10"/>
        <v>0</v>
      </c>
      <c r="U77" s="51">
        <f t="shared" si="11"/>
        <v>0</v>
      </c>
      <c r="Y77" s="51">
        <f t="shared" si="12"/>
        <v>0</v>
      </c>
      <c r="AB77" s="52">
        <f t="shared" si="13"/>
        <v>0</v>
      </c>
      <c r="AC77" s="39">
        <f t="shared" si="14"/>
        <v>4</v>
      </c>
      <c r="AD77" s="42">
        <f t="shared" si="15"/>
        <v>5600</v>
      </c>
      <c r="AE77" s="61"/>
    </row>
    <row r="78" spans="1:31" s="3" customFormat="1" ht="15.6" x14ac:dyDescent="0.3">
      <c r="A78" s="2">
        <v>71</v>
      </c>
      <c r="B78" s="3" t="s">
        <v>114</v>
      </c>
      <c r="E78" s="18" t="s">
        <v>134</v>
      </c>
      <c r="F78" s="18" t="s">
        <v>135</v>
      </c>
      <c r="G78" s="18">
        <v>5000</v>
      </c>
      <c r="H78" s="4">
        <v>4.5</v>
      </c>
      <c r="I78" s="4">
        <f t="shared" si="0"/>
        <v>22500</v>
      </c>
      <c r="J78" s="5"/>
      <c r="M78" s="51">
        <f t="shared" si="9"/>
        <v>0</v>
      </c>
      <c r="Q78" s="51">
        <f t="shared" si="10"/>
        <v>0</v>
      </c>
      <c r="U78" s="51">
        <f t="shared" si="11"/>
        <v>0</v>
      </c>
      <c r="Y78" s="51">
        <f t="shared" si="12"/>
        <v>0</v>
      </c>
      <c r="AB78" s="52">
        <f t="shared" si="13"/>
        <v>0</v>
      </c>
      <c r="AC78" s="39">
        <f t="shared" si="14"/>
        <v>5000</v>
      </c>
      <c r="AD78" s="42">
        <f t="shared" si="15"/>
        <v>22500</v>
      </c>
      <c r="AE78" s="61"/>
    </row>
    <row r="79" spans="1:31" s="3" customFormat="1" ht="15.6" x14ac:dyDescent="0.3">
      <c r="A79" s="2">
        <v>72</v>
      </c>
      <c r="B79" s="3" t="s">
        <v>115</v>
      </c>
      <c r="E79" s="18" t="s">
        <v>134</v>
      </c>
      <c r="F79" s="18" t="s">
        <v>135</v>
      </c>
      <c r="G79" s="18">
        <v>35</v>
      </c>
      <c r="H79" s="4">
        <v>2.5</v>
      </c>
      <c r="I79" s="4">
        <f t="shared" si="0"/>
        <v>87.5</v>
      </c>
      <c r="J79" s="5"/>
      <c r="M79" s="51">
        <f t="shared" si="9"/>
        <v>0</v>
      </c>
      <c r="Q79" s="51">
        <f t="shared" si="10"/>
        <v>0</v>
      </c>
      <c r="U79" s="51">
        <f t="shared" si="11"/>
        <v>0</v>
      </c>
      <c r="Y79" s="51">
        <f t="shared" si="12"/>
        <v>0</v>
      </c>
      <c r="AB79" s="52">
        <f t="shared" si="13"/>
        <v>0</v>
      </c>
      <c r="AC79" s="39">
        <f t="shared" si="14"/>
        <v>35</v>
      </c>
      <c r="AD79" s="42">
        <f t="shared" si="15"/>
        <v>87.5</v>
      </c>
      <c r="AE79" s="61"/>
    </row>
    <row r="80" spans="1:31" s="3" customFormat="1" ht="15.6" x14ac:dyDescent="0.3">
      <c r="A80" s="2">
        <v>73</v>
      </c>
      <c r="B80" s="3" t="s">
        <v>116</v>
      </c>
      <c r="E80" s="18" t="s">
        <v>134</v>
      </c>
      <c r="F80" s="18" t="s">
        <v>135</v>
      </c>
      <c r="G80" s="18">
        <v>6</v>
      </c>
      <c r="H80" s="4">
        <v>330</v>
      </c>
      <c r="I80" s="4">
        <f t="shared" si="0"/>
        <v>1980</v>
      </c>
      <c r="J80" s="5"/>
      <c r="M80" s="51">
        <f t="shared" si="9"/>
        <v>0</v>
      </c>
      <c r="Q80" s="51">
        <f t="shared" si="10"/>
        <v>0</v>
      </c>
      <c r="U80" s="51">
        <f t="shared" si="11"/>
        <v>0</v>
      </c>
      <c r="Y80" s="51">
        <f t="shared" si="12"/>
        <v>0</v>
      </c>
      <c r="AB80" s="52">
        <f t="shared" si="13"/>
        <v>0</v>
      </c>
      <c r="AC80" s="39">
        <f t="shared" si="14"/>
        <v>6</v>
      </c>
      <c r="AD80" s="42">
        <f t="shared" si="15"/>
        <v>1980</v>
      </c>
      <c r="AE80" s="61"/>
    </row>
    <row r="81" spans="1:31" s="3" customFormat="1" ht="15.6" x14ac:dyDescent="0.3">
      <c r="A81" s="2">
        <v>74</v>
      </c>
      <c r="B81" s="3" t="s">
        <v>117</v>
      </c>
      <c r="E81" s="18" t="s">
        <v>134</v>
      </c>
      <c r="F81" s="18" t="s">
        <v>135</v>
      </c>
      <c r="G81" s="18">
        <v>6</v>
      </c>
      <c r="H81" s="4">
        <v>1480</v>
      </c>
      <c r="I81" s="4">
        <f t="shared" si="0"/>
        <v>8880</v>
      </c>
      <c r="J81" s="5"/>
      <c r="M81" s="51">
        <f t="shared" si="9"/>
        <v>0</v>
      </c>
      <c r="Q81" s="51">
        <f t="shared" si="10"/>
        <v>0</v>
      </c>
      <c r="U81" s="51">
        <f t="shared" si="11"/>
        <v>0</v>
      </c>
      <c r="Y81" s="51">
        <f t="shared" si="12"/>
        <v>0</v>
      </c>
      <c r="AB81" s="52">
        <f t="shared" si="13"/>
        <v>0</v>
      </c>
      <c r="AC81" s="39">
        <f t="shared" si="14"/>
        <v>6</v>
      </c>
      <c r="AD81" s="42">
        <f t="shared" si="15"/>
        <v>8880</v>
      </c>
      <c r="AE81" s="61"/>
    </row>
    <row r="82" spans="1:31" s="3" customFormat="1" ht="15.6" x14ac:dyDescent="0.3">
      <c r="A82" s="2">
        <v>75</v>
      </c>
      <c r="B82" s="3" t="s">
        <v>118</v>
      </c>
      <c r="E82" s="18" t="s">
        <v>134</v>
      </c>
      <c r="F82" s="18" t="s">
        <v>137</v>
      </c>
      <c r="G82" s="18">
        <v>3</v>
      </c>
      <c r="H82" s="4">
        <v>19890</v>
      </c>
      <c r="I82" s="4">
        <f t="shared" si="0"/>
        <v>59670</v>
      </c>
      <c r="J82" s="5"/>
      <c r="M82" s="51">
        <f t="shared" ref="M82:M86" si="16">SUM(K82:L82)</f>
        <v>0</v>
      </c>
      <c r="Q82" s="51">
        <f t="shared" ref="Q82:Q86" si="17">SUM(N82:P82)</f>
        <v>0</v>
      </c>
      <c r="U82" s="51">
        <f t="shared" ref="U82:U86" si="18">SUM(R82:T82)</f>
        <v>0</v>
      </c>
      <c r="Y82" s="51">
        <f t="shared" ref="Y82:Y86" si="19">SUM(V82:X82)</f>
        <v>0</v>
      </c>
      <c r="AB82" s="52">
        <f t="shared" ref="AB82:AB86" si="20">SUM(Z82:AA82)</f>
        <v>0</v>
      </c>
      <c r="AC82" s="39">
        <f t="shared" ref="AC82:AC86" si="21">G82-K82-L82-N82-O82-P82-R82-S82-T82-V82-W82-X82-Z82-AA82</f>
        <v>3</v>
      </c>
      <c r="AD82" s="42">
        <f t="shared" ref="AD82:AD86" si="22">AC82*H82</f>
        <v>59670</v>
      </c>
      <c r="AE82" s="61"/>
    </row>
    <row r="83" spans="1:31" s="3" customFormat="1" ht="15.6" x14ac:dyDescent="0.3">
      <c r="A83" s="2">
        <v>76</v>
      </c>
      <c r="B83" s="3" t="s">
        <v>119</v>
      </c>
      <c r="E83" s="18" t="s">
        <v>134</v>
      </c>
      <c r="F83" s="18" t="s">
        <v>135</v>
      </c>
      <c r="G83" s="18">
        <v>3</v>
      </c>
      <c r="H83" s="4">
        <v>4200</v>
      </c>
      <c r="I83" s="4">
        <f t="shared" si="0"/>
        <v>12600</v>
      </c>
      <c r="J83" s="18"/>
      <c r="M83" s="51">
        <f t="shared" si="16"/>
        <v>0</v>
      </c>
      <c r="Q83" s="51">
        <f t="shared" si="17"/>
        <v>0</v>
      </c>
      <c r="U83" s="51">
        <f t="shared" si="18"/>
        <v>0</v>
      </c>
      <c r="Y83" s="51">
        <f t="shared" si="19"/>
        <v>0</v>
      </c>
      <c r="AB83" s="52">
        <f t="shared" si="20"/>
        <v>0</v>
      </c>
      <c r="AC83" s="39">
        <f t="shared" si="21"/>
        <v>3</v>
      </c>
      <c r="AD83" s="42">
        <f t="shared" si="22"/>
        <v>12600</v>
      </c>
      <c r="AE83" s="61"/>
    </row>
    <row r="84" spans="1:31" s="3" customFormat="1" ht="15.6" x14ac:dyDescent="0.3">
      <c r="A84" s="2">
        <v>77</v>
      </c>
      <c r="B84" s="3" t="s">
        <v>120</v>
      </c>
      <c r="E84" s="18" t="s">
        <v>134</v>
      </c>
      <c r="F84" s="18" t="s">
        <v>135</v>
      </c>
      <c r="G84" s="18">
        <v>6</v>
      </c>
      <c r="H84" s="4">
        <v>1050</v>
      </c>
      <c r="I84" s="4">
        <f t="shared" si="0"/>
        <v>6300</v>
      </c>
      <c r="J84" s="18"/>
      <c r="M84" s="51">
        <f t="shared" si="16"/>
        <v>0</v>
      </c>
      <c r="Q84" s="51">
        <f t="shared" si="17"/>
        <v>0</v>
      </c>
      <c r="U84" s="51">
        <f t="shared" si="18"/>
        <v>0</v>
      </c>
      <c r="Y84" s="51">
        <f t="shared" si="19"/>
        <v>0</v>
      </c>
      <c r="AB84" s="52">
        <f t="shared" si="20"/>
        <v>0</v>
      </c>
      <c r="AC84" s="39">
        <f t="shared" si="21"/>
        <v>6</v>
      </c>
      <c r="AD84" s="42">
        <f t="shared" si="22"/>
        <v>6300</v>
      </c>
      <c r="AE84" s="61"/>
    </row>
    <row r="85" spans="1:31" s="3" customFormat="1" ht="15.6" x14ac:dyDescent="0.3">
      <c r="A85" s="2">
        <v>78</v>
      </c>
      <c r="B85" s="3" t="s">
        <v>121</v>
      </c>
      <c r="E85" s="18" t="s">
        <v>134</v>
      </c>
      <c r="F85" s="18" t="s">
        <v>135</v>
      </c>
      <c r="G85" s="18">
        <v>5</v>
      </c>
      <c r="H85" s="4">
        <v>8100</v>
      </c>
      <c r="I85" s="4">
        <f t="shared" si="0"/>
        <v>40500</v>
      </c>
      <c r="J85" s="18"/>
      <c r="M85" s="51">
        <f t="shared" si="16"/>
        <v>0</v>
      </c>
      <c r="Q85" s="51">
        <f t="shared" si="17"/>
        <v>0</v>
      </c>
      <c r="U85" s="51">
        <f t="shared" si="18"/>
        <v>0</v>
      </c>
      <c r="Y85" s="51">
        <f t="shared" si="19"/>
        <v>0</v>
      </c>
      <c r="AB85" s="52">
        <f t="shared" si="20"/>
        <v>0</v>
      </c>
      <c r="AC85" s="39">
        <f t="shared" si="21"/>
        <v>5</v>
      </c>
      <c r="AD85" s="42">
        <f t="shared" si="22"/>
        <v>40500</v>
      </c>
      <c r="AE85" s="61"/>
    </row>
    <row r="86" spans="1:31" s="3" customFormat="1" ht="15.6" x14ac:dyDescent="0.3">
      <c r="A86" s="2">
        <v>79</v>
      </c>
      <c r="B86" s="3" t="s">
        <v>122</v>
      </c>
      <c r="E86" s="18" t="s">
        <v>134</v>
      </c>
      <c r="F86" s="18" t="s">
        <v>135</v>
      </c>
      <c r="G86" s="18">
        <v>135</v>
      </c>
      <c r="H86" s="4">
        <v>4500</v>
      </c>
      <c r="I86" s="4">
        <f t="shared" si="0"/>
        <v>607500</v>
      </c>
      <c r="J86" s="18"/>
      <c r="M86" s="51">
        <f t="shared" si="16"/>
        <v>0</v>
      </c>
      <c r="Q86" s="51">
        <f t="shared" si="17"/>
        <v>0</v>
      </c>
      <c r="U86" s="51">
        <f t="shared" si="18"/>
        <v>0</v>
      </c>
      <c r="Y86" s="51">
        <f t="shared" si="19"/>
        <v>0</v>
      </c>
      <c r="AB86" s="52">
        <f t="shared" si="20"/>
        <v>0</v>
      </c>
      <c r="AC86" s="39">
        <f t="shared" si="21"/>
        <v>135</v>
      </c>
      <c r="AD86" s="42">
        <f t="shared" si="22"/>
        <v>607500</v>
      </c>
      <c r="AE86" s="61"/>
    </row>
    <row r="87" spans="1:31" s="3" customFormat="1" ht="15.6" x14ac:dyDescent="0.3">
      <c r="A87" s="2">
        <v>80</v>
      </c>
      <c r="B87" s="3" t="s">
        <v>123</v>
      </c>
      <c r="E87" s="18" t="s">
        <v>134</v>
      </c>
      <c r="F87" s="18" t="s">
        <v>135</v>
      </c>
      <c r="G87" s="18">
        <v>2</v>
      </c>
      <c r="H87" s="4">
        <v>65000</v>
      </c>
      <c r="I87" s="4">
        <f t="shared" si="0"/>
        <v>130000</v>
      </c>
      <c r="J87" s="18"/>
      <c r="M87" s="51">
        <f t="shared" si="1"/>
        <v>0</v>
      </c>
      <c r="Q87" s="51">
        <f t="shared" si="2"/>
        <v>0</v>
      </c>
      <c r="U87" s="51">
        <f t="shared" si="3"/>
        <v>0</v>
      </c>
      <c r="Y87" s="51">
        <f t="shared" si="4"/>
        <v>0</v>
      </c>
      <c r="AB87" s="52">
        <f t="shared" si="7"/>
        <v>0</v>
      </c>
      <c r="AC87" s="39">
        <f t="shared" si="8"/>
        <v>2</v>
      </c>
      <c r="AD87" s="42">
        <f t="shared" si="6"/>
        <v>130000</v>
      </c>
      <c r="AE87" s="61"/>
    </row>
    <row r="88" spans="1:31" s="3" customFormat="1" ht="15.6" x14ac:dyDescent="0.3">
      <c r="A88" s="2">
        <v>81</v>
      </c>
      <c r="B88" s="3" t="s">
        <v>124</v>
      </c>
      <c r="E88" s="18" t="s">
        <v>134</v>
      </c>
      <c r="F88" s="18" t="s">
        <v>135</v>
      </c>
      <c r="G88" s="18">
        <v>2</v>
      </c>
      <c r="H88" s="4">
        <v>35000</v>
      </c>
      <c r="I88" s="4">
        <f t="shared" si="0"/>
        <v>70000</v>
      </c>
      <c r="J88" s="18"/>
      <c r="M88" s="51">
        <f t="shared" si="1"/>
        <v>0</v>
      </c>
      <c r="Q88" s="51">
        <f t="shared" si="2"/>
        <v>0</v>
      </c>
      <c r="U88" s="51">
        <f t="shared" si="3"/>
        <v>0</v>
      </c>
      <c r="Y88" s="51">
        <f t="shared" si="4"/>
        <v>0</v>
      </c>
      <c r="AB88" s="52">
        <f t="shared" si="7"/>
        <v>0</v>
      </c>
      <c r="AC88" s="39">
        <f t="shared" si="8"/>
        <v>2</v>
      </c>
      <c r="AD88" s="42">
        <f t="shared" si="6"/>
        <v>70000</v>
      </c>
      <c r="AE88" s="61"/>
    </row>
    <row r="89" spans="1:31" s="3" customFormat="1" ht="15.6" x14ac:dyDescent="0.3">
      <c r="A89" s="2">
        <v>82</v>
      </c>
      <c r="B89" s="3" t="s">
        <v>125</v>
      </c>
      <c r="E89" s="18" t="s">
        <v>134</v>
      </c>
      <c r="F89" s="18" t="s">
        <v>135</v>
      </c>
      <c r="G89" s="18">
        <v>2</v>
      </c>
      <c r="H89" s="4">
        <v>18000</v>
      </c>
      <c r="I89" s="4">
        <f t="shared" si="0"/>
        <v>36000</v>
      </c>
      <c r="J89" s="18"/>
      <c r="M89" s="51">
        <f t="shared" si="1"/>
        <v>0</v>
      </c>
      <c r="Q89" s="51">
        <f t="shared" si="2"/>
        <v>0</v>
      </c>
      <c r="U89" s="51">
        <f t="shared" si="3"/>
        <v>0</v>
      </c>
      <c r="Y89" s="51">
        <f t="shared" si="4"/>
        <v>0</v>
      </c>
      <c r="AB89" s="52">
        <f t="shared" si="7"/>
        <v>0</v>
      </c>
      <c r="AC89" s="39">
        <f t="shared" si="8"/>
        <v>2</v>
      </c>
      <c r="AD89" s="42">
        <f t="shared" si="6"/>
        <v>36000</v>
      </c>
      <c r="AE89" s="61"/>
    </row>
    <row r="90" spans="1:31" s="3" customFormat="1" ht="15.6" x14ac:dyDescent="0.3">
      <c r="A90" s="2">
        <v>83</v>
      </c>
      <c r="B90" s="3" t="s">
        <v>126</v>
      </c>
      <c r="E90" s="18" t="s">
        <v>134</v>
      </c>
      <c r="F90" s="18" t="s">
        <v>135</v>
      </c>
      <c r="G90" s="18">
        <v>4</v>
      </c>
      <c r="H90" s="4">
        <v>120</v>
      </c>
      <c r="I90" s="4">
        <f t="shared" si="0"/>
        <v>480</v>
      </c>
      <c r="J90" s="5"/>
      <c r="M90" s="51">
        <f t="shared" si="1"/>
        <v>0</v>
      </c>
      <c r="Q90" s="51">
        <f t="shared" si="2"/>
        <v>0</v>
      </c>
      <c r="U90" s="51">
        <f t="shared" si="3"/>
        <v>0</v>
      </c>
      <c r="Y90" s="51">
        <f t="shared" si="4"/>
        <v>0</v>
      </c>
      <c r="AB90" s="52">
        <f t="shared" si="5"/>
        <v>0</v>
      </c>
      <c r="AC90" s="39">
        <f t="shared" ref="AC90:AC95" si="23">G90-K90-L90-N90-O90-P90-R90-S90-T90-V90-W90-X90-Z90-AA90</f>
        <v>4</v>
      </c>
      <c r="AD90" s="42">
        <f t="shared" si="6"/>
        <v>480</v>
      </c>
      <c r="AE90" s="61"/>
    </row>
    <row r="91" spans="1:31" s="3" customFormat="1" ht="15.6" x14ac:dyDescent="0.3">
      <c r="A91" s="2">
        <v>84</v>
      </c>
      <c r="B91" s="3" t="s">
        <v>127</v>
      </c>
      <c r="E91" s="18" t="s">
        <v>134</v>
      </c>
      <c r="F91" s="18" t="s">
        <v>135</v>
      </c>
      <c r="G91" s="18">
        <v>2</v>
      </c>
      <c r="H91" s="4">
        <v>1000</v>
      </c>
      <c r="I91" s="4">
        <f t="shared" si="0"/>
        <v>2000</v>
      </c>
      <c r="J91" s="5"/>
      <c r="M91" s="51">
        <f t="shared" si="1"/>
        <v>0</v>
      </c>
      <c r="Q91" s="51">
        <f t="shared" si="2"/>
        <v>0</v>
      </c>
      <c r="U91" s="51">
        <f t="shared" si="3"/>
        <v>0</v>
      </c>
      <c r="Y91" s="51">
        <f t="shared" si="4"/>
        <v>0</v>
      </c>
      <c r="AB91" s="52">
        <f t="shared" si="5"/>
        <v>0</v>
      </c>
      <c r="AC91" s="39">
        <f t="shared" si="23"/>
        <v>2</v>
      </c>
      <c r="AD91" s="42">
        <f t="shared" si="6"/>
        <v>2000</v>
      </c>
      <c r="AE91" s="61"/>
    </row>
    <row r="92" spans="1:31" s="3" customFormat="1" ht="15.6" x14ac:dyDescent="0.3">
      <c r="A92" s="2">
        <v>85</v>
      </c>
      <c r="B92" s="3" t="s">
        <v>128</v>
      </c>
      <c r="E92" s="18" t="s">
        <v>134</v>
      </c>
      <c r="F92" s="18" t="s">
        <v>135</v>
      </c>
      <c r="G92" s="18">
        <v>5</v>
      </c>
      <c r="H92" s="12">
        <v>15000</v>
      </c>
      <c r="I92" s="4">
        <f t="shared" si="0"/>
        <v>75000</v>
      </c>
      <c r="J92" s="5"/>
      <c r="M92" s="51">
        <f t="shared" ref="M92:M95" si="24">SUM(K92:L92)</f>
        <v>0</v>
      </c>
      <c r="Q92" s="51">
        <f t="shared" si="2"/>
        <v>0</v>
      </c>
      <c r="U92" s="51">
        <f t="shared" si="3"/>
        <v>0</v>
      </c>
      <c r="Y92" s="51">
        <f t="shared" si="4"/>
        <v>0</v>
      </c>
      <c r="AB92" s="52">
        <f t="shared" si="5"/>
        <v>0</v>
      </c>
      <c r="AC92" s="39">
        <f t="shared" si="23"/>
        <v>5</v>
      </c>
      <c r="AD92" s="42">
        <f t="shared" si="6"/>
        <v>75000</v>
      </c>
      <c r="AE92" s="61"/>
    </row>
    <row r="93" spans="1:31" s="3" customFormat="1" ht="15.6" x14ac:dyDescent="0.3">
      <c r="A93" s="2">
        <v>86</v>
      </c>
      <c r="B93" s="3" t="s">
        <v>129</v>
      </c>
      <c r="E93" s="18" t="s">
        <v>134</v>
      </c>
      <c r="F93" s="18" t="s">
        <v>138</v>
      </c>
      <c r="G93" s="18">
        <v>3500</v>
      </c>
      <c r="H93" s="4">
        <v>50</v>
      </c>
      <c r="I93" s="4">
        <f t="shared" si="0"/>
        <v>175000</v>
      </c>
      <c r="J93" s="5"/>
      <c r="M93" s="51">
        <f t="shared" si="24"/>
        <v>0</v>
      </c>
      <c r="Q93" s="51">
        <f t="shared" si="2"/>
        <v>0</v>
      </c>
      <c r="U93" s="51">
        <f t="shared" si="3"/>
        <v>0</v>
      </c>
      <c r="Y93" s="51">
        <f t="shared" si="4"/>
        <v>0</v>
      </c>
      <c r="AB93" s="52">
        <f t="shared" si="5"/>
        <v>0</v>
      </c>
      <c r="AC93" s="39">
        <f t="shared" si="23"/>
        <v>3500</v>
      </c>
      <c r="AD93" s="42">
        <f t="shared" si="6"/>
        <v>175000</v>
      </c>
      <c r="AE93" s="61"/>
    </row>
    <row r="94" spans="1:31" s="3" customFormat="1" ht="15.6" x14ac:dyDescent="0.3">
      <c r="A94" s="2">
        <v>87</v>
      </c>
      <c r="B94" s="3" t="s">
        <v>130</v>
      </c>
      <c r="E94" s="18" t="s">
        <v>134</v>
      </c>
      <c r="F94" s="18" t="s">
        <v>135</v>
      </c>
      <c r="G94" s="18">
        <v>50</v>
      </c>
      <c r="H94" s="4">
        <v>60</v>
      </c>
      <c r="I94" s="4">
        <f t="shared" si="0"/>
        <v>3000</v>
      </c>
      <c r="J94" s="18"/>
      <c r="M94" s="51">
        <f t="shared" si="24"/>
        <v>0</v>
      </c>
      <c r="Q94" s="51">
        <f t="shared" si="2"/>
        <v>0</v>
      </c>
      <c r="U94" s="51">
        <f t="shared" si="3"/>
        <v>0</v>
      </c>
      <c r="Y94" s="51">
        <f t="shared" si="4"/>
        <v>0</v>
      </c>
      <c r="AB94" s="52">
        <f t="shared" si="5"/>
        <v>0</v>
      </c>
      <c r="AC94" s="39">
        <f t="shared" si="23"/>
        <v>50</v>
      </c>
      <c r="AD94" s="42">
        <f t="shared" si="6"/>
        <v>3000</v>
      </c>
      <c r="AE94" s="61"/>
    </row>
    <row r="95" spans="1:31" s="3" customFormat="1" ht="15.6" x14ac:dyDescent="0.3">
      <c r="A95" s="2">
        <v>88</v>
      </c>
      <c r="B95" s="3" t="s">
        <v>131</v>
      </c>
      <c r="E95" s="18" t="s">
        <v>134</v>
      </c>
      <c r="F95" s="18" t="s">
        <v>135</v>
      </c>
      <c r="G95" s="18">
        <v>35</v>
      </c>
      <c r="H95" s="4">
        <v>2000</v>
      </c>
      <c r="I95" s="4">
        <f t="shared" si="0"/>
        <v>70000</v>
      </c>
      <c r="J95" s="5"/>
      <c r="M95" s="51">
        <f t="shared" si="24"/>
        <v>0</v>
      </c>
      <c r="Q95" s="51">
        <f t="shared" si="2"/>
        <v>0</v>
      </c>
      <c r="U95" s="51">
        <f t="shared" si="3"/>
        <v>0</v>
      </c>
      <c r="Y95" s="51">
        <f t="shared" si="4"/>
        <v>0</v>
      </c>
      <c r="AB95" s="52">
        <f t="shared" si="5"/>
        <v>0</v>
      </c>
      <c r="AC95" s="39">
        <f t="shared" si="23"/>
        <v>35</v>
      </c>
      <c r="AD95" s="42">
        <f t="shared" si="6"/>
        <v>70000</v>
      </c>
      <c r="AE95" s="61"/>
    </row>
    <row r="96" spans="1:31" s="3" customFormat="1" ht="15.6" x14ac:dyDescent="0.3">
      <c r="A96" s="2">
        <v>89</v>
      </c>
      <c r="B96" s="3" t="s">
        <v>132</v>
      </c>
      <c r="E96" s="18" t="s">
        <v>134</v>
      </c>
      <c r="F96" s="18" t="s">
        <v>135</v>
      </c>
      <c r="G96" s="18">
        <v>10</v>
      </c>
      <c r="H96" s="4">
        <v>8000</v>
      </c>
      <c r="I96" s="4">
        <f t="shared" si="0"/>
        <v>80000</v>
      </c>
      <c r="J96" s="5"/>
      <c r="M96" s="51">
        <f t="shared" ref="M96:M97" si="25">SUM(K96:L96)</f>
        <v>0</v>
      </c>
      <c r="Q96" s="51">
        <f t="shared" ref="Q96:Q97" si="26">SUM(N96:P96)</f>
        <v>0</v>
      </c>
      <c r="U96" s="51">
        <f t="shared" ref="U96:U97" si="27">SUM(R96:T96)</f>
        <v>0</v>
      </c>
      <c r="Y96" s="51">
        <f t="shared" ref="Y96:Y97" si="28">SUM(V96:X96)</f>
        <v>0</v>
      </c>
      <c r="AB96" s="52">
        <f t="shared" ref="AB96:AB97" si="29">SUM(Z96:AA96)</f>
        <v>0</v>
      </c>
      <c r="AC96" s="39">
        <f t="shared" ref="AC96:AC97" si="30">G96-K96-L96-N96-O96-P96-R96-S96-T96-V96-W96-X96-Z96-AA96</f>
        <v>10</v>
      </c>
      <c r="AD96" s="42">
        <f t="shared" si="6"/>
        <v>80000</v>
      </c>
      <c r="AE96" s="61"/>
    </row>
    <row r="97" spans="1:31" s="3" customFormat="1" ht="15.6" x14ac:dyDescent="0.3">
      <c r="A97" s="2">
        <v>90</v>
      </c>
      <c r="B97" s="3" t="s">
        <v>133</v>
      </c>
      <c r="E97" s="18" t="s">
        <v>134</v>
      </c>
      <c r="F97" s="18" t="s">
        <v>135</v>
      </c>
      <c r="G97" s="18">
        <v>100</v>
      </c>
      <c r="H97" s="4">
        <v>400</v>
      </c>
      <c r="I97" s="4">
        <f t="shared" si="0"/>
        <v>40000</v>
      </c>
      <c r="J97" s="5"/>
      <c r="M97" s="51">
        <f t="shared" si="25"/>
        <v>0</v>
      </c>
      <c r="Q97" s="51">
        <f t="shared" si="26"/>
        <v>0</v>
      </c>
      <c r="U97" s="51">
        <f t="shared" si="27"/>
        <v>0</v>
      </c>
      <c r="Y97" s="51">
        <f t="shared" si="28"/>
        <v>0</v>
      </c>
      <c r="AB97" s="52">
        <f t="shared" si="29"/>
        <v>0</v>
      </c>
      <c r="AC97" s="39">
        <f t="shared" si="30"/>
        <v>100</v>
      </c>
      <c r="AD97" s="42">
        <f t="shared" si="6"/>
        <v>40000</v>
      </c>
      <c r="AE97" s="61"/>
    </row>
    <row r="98" spans="1:31" s="3" customFormat="1" ht="15.6" x14ac:dyDescent="0.3">
      <c r="A98" s="62" t="s">
        <v>24</v>
      </c>
      <c r="B98" s="63"/>
      <c r="C98" s="63"/>
      <c r="D98" s="63"/>
      <c r="E98" s="63"/>
      <c r="F98" s="64"/>
      <c r="G98" s="57">
        <f>SUM(G8:G97)</f>
        <v>18390</v>
      </c>
      <c r="H98" s="36"/>
      <c r="I98" s="36">
        <f>SUM(I8:I97)</f>
        <v>4841262.5</v>
      </c>
      <c r="J98" s="18"/>
      <c r="M98" s="52"/>
      <c r="Q98" s="52"/>
      <c r="U98" s="52"/>
      <c r="Y98" s="52"/>
      <c r="AB98" s="52"/>
      <c r="AC98" s="57">
        <f>SUM(AC8:AC97)</f>
        <v>18390</v>
      </c>
      <c r="AD98" s="57">
        <f>SUM(AD8:AD97)</f>
        <v>4841262.5</v>
      </c>
      <c r="AE98" s="61"/>
    </row>
    <row r="99" spans="1:31" s="3" customFormat="1" ht="15.6" x14ac:dyDescent="0.3">
      <c r="A99" s="2"/>
      <c r="B99" s="6"/>
      <c r="E99" s="18"/>
      <c r="F99" s="18"/>
      <c r="G99" s="18"/>
      <c r="H99" s="4"/>
      <c r="I99" s="7"/>
      <c r="J99" s="18"/>
      <c r="M99" s="52"/>
      <c r="Q99" s="52"/>
      <c r="U99" s="52"/>
      <c r="Y99" s="52"/>
      <c r="AB99" s="52"/>
      <c r="AC99" s="39"/>
    </row>
    <row r="100" spans="1:31" s="17" customFormat="1" ht="15.6" x14ac:dyDescent="0.3">
      <c r="A100" s="44" t="s">
        <v>13</v>
      </c>
      <c r="B100" s="42"/>
      <c r="C100" s="42"/>
      <c r="D100" s="45"/>
      <c r="E100" s="46"/>
      <c r="F100" s="46"/>
      <c r="G100" s="46"/>
      <c r="H100" s="47"/>
      <c r="I100" s="42"/>
      <c r="J100" s="46"/>
      <c r="M100" s="52"/>
      <c r="Q100" s="52"/>
      <c r="U100" s="52"/>
      <c r="Y100" s="52"/>
      <c r="AB100" s="52"/>
      <c r="AC100" s="43"/>
    </row>
    <row r="101" spans="1:31" s="3" customFormat="1" ht="15.6" x14ac:dyDescent="0.3">
      <c r="A101" s="2">
        <v>1</v>
      </c>
      <c r="B101" s="3" t="s">
        <v>139</v>
      </c>
      <c r="E101" s="18"/>
      <c r="F101" s="18" t="s">
        <v>263</v>
      </c>
      <c r="G101" s="20">
        <v>3000000</v>
      </c>
      <c r="H101" s="12">
        <v>3.5</v>
      </c>
      <c r="I101" s="12">
        <f>H101*G101</f>
        <v>10500000</v>
      </c>
      <c r="J101" s="18"/>
      <c r="L101" s="60"/>
      <c r="M101" s="51">
        <f t="shared" ref="M101:M105" si="31">SUM(K101:L101)</f>
        <v>0</v>
      </c>
      <c r="N101" s="59"/>
      <c r="O101" s="42"/>
      <c r="Q101" s="52">
        <f>SUM(N101:P101)</f>
        <v>0</v>
      </c>
      <c r="U101" s="52">
        <f>SUM(R101:T101)</f>
        <v>0</v>
      </c>
      <c r="Y101" s="52">
        <f>SUM(V101:X101)</f>
        <v>0</v>
      </c>
      <c r="Z101" s="41"/>
      <c r="AB101" s="52">
        <f t="shared" ref="AB101:AB105" si="32">SUM(Z101:AA101)</f>
        <v>0</v>
      </c>
      <c r="AC101" s="39">
        <f t="shared" ref="AC101:AC105" si="33">G101-K101-L101-N101-O101-P101-R101-S101-T101-V101-W101-X101-Z101-AA101</f>
        <v>3000000</v>
      </c>
      <c r="AD101" s="56">
        <f t="shared" ref="AD101:AD105" si="34">AC101*H101</f>
        <v>10500000</v>
      </c>
    </row>
    <row r="102" spans="1:31" s="3" customFormat="1" ht="15.6" x14ac:dyDescent="0.3">
      <c r="A102" s="2">
        <f>A101+1</f>
        <v>2</v>
      </c>
      <c r="B102" s="3" t="s">
        <v>140</v>
      </c>
      <c r="E102" s="18"/>
      <c r="F102" s="18" t="s">
        <v>263</v>
      </c>
      <c r="G102" s="21">
        <v>600000</v>
      </c>
      <c r="H102" s="4">
        <v>0.5</v>
      </c>
      <c r="I102" s="12">
        <f t="shared" ref="I102:I165" si="35">H102*G102</f>
        <v>300000</v>
      </c>
      <c r="J102" s="18"/>
      <c r="M102" s="51">
        <f t="shared" si="31"/>
        <v>0</v>
      </c>
      <c r="Q102" s="52">
        <f t="shared" ref="Q102:Q105" si="36">SUM(N102:P102)</f>
        <v>0</v>
      </c>
      <c r="U102" s="52">
        <f t="shared" ref="U102:U105" si="37">SUM(R102:T102)</f>
        <v>0</v>
      </c>
      <c r="Y102" s="52">
        <f t="shared" ref="Y102:Y105" si="38">SUM(V102:X102)</f>
        <v>0</v>
      </c>
      <c r="Z102" s="41"/>
      <c r="AB102" s="52">
        <f t="shared" si="32"/>
        <v>0</v>
      </c>
      <c r="AC102" s="39">
        <f t="shared" si="33"/>
        <v>600000</v>
      </c>
      <c r="AD102" s="56">
        <f t="shared" si="34"/>
        <v>300000</v>
      </c>
    </row>
    <row r="103" spans="1:31" s="3" customFormat="1" ht="15.6" x14ac:dyDescent="0.3">
      <c r="A103" s="2">
        <f>A102+1</f>
        <v>3</v>
      </c>
      <c r="B103" s="3" t="s">
        <v>141</v>
      </c>
      <c r="E103" s="18"/>
      <c r="F103" s="18" t="s">
        <v>263</v>
      </c>
      <c r="G103" s="21">
        <v>800000</v>
      </c>
      <c r="H103" s="4">
        <v>1.5</v>
      </c>
      <c r="I103" s="12">
        <f t="shared" si="35"/>
        <v>1200000</v>
      </c>
      <c r="J103" s="18"/>
      <c r="M103" s="51">
        <f t="shared" si="31"/>
        <v>0</v>
      </c>
      <c r="Q103" s="52">
        <f t="shared" si="36"/>
        <v>0</v>
      </c>
      <c r="U103" s="52">
        <f t="shared" si="37"/>
        <v>0</v>
      </c>
      <c r="Y103" s="52">
        <f t="shared" si="38"/>
        <v>0</v>
      </c>
      <c r="AB103" s="52">
        <f t="shared" si="32"/>
        <v>0</v>
      </c>
      <c r="AC103" s="39">
        <f t="shared" si="33"/>
        <v>800000</v>
      </c>
      <c r="AD103" s="56">
        <f t="shared" si="34"/>
        <v>1200000</v>
      </c>
    </row>
    <row r="104" spans="1:31" s="3" customFormat="1" ht="15.6" x14ac:dyDescent="0.3">
      <c r="A104" s="2">
        <f t="shared" ref="A104:A167" si="39">A103+1</f>
        <v>4</v>
      </c>
      <c r="B104" s="3" t="s">
        <v>142</v>
      </c>
      <c r="E104" s="18"/>
      <c r="F104" s="18" t="s">
        <v>263</v>
      </c>
      <c r="G104" s="21">
        <v>3500000</v>
      </c>
      <c r="H104" s="4">
        <v>4.5</v>
      </c>
      <c r="I104" s="12">
        <f t="shared" si="35"/>
        <v>15750000</v>
      </c>
      <c r="J104" s="18"/>
      <c r="M104" s="51">
        <f t="shared" si="31"/>
        <v>0</v>
      </c>
      <c r="Q104" s="52">
        <f t="shared" si="36"/>
        <v>0</v>
      </c>
      <c r="U104" s="52">
        <f t="shared" si="37"/>
        <v>0</v>
      </c>
      <c r="Y104" s="52">
        <f t="shared" si="38"/>
        <v>0</v>
      </c>
      <c r="AB104" s="52">
        <f t="shared" si="32"/>
        <v>0</v>
      </c>
      <c r="AC104" s="39">
        <f t="shared" si="33"/>
        <v>3500000</v>
      </c>
      <c r="AD104" s="56">
        <f t="shared" si="34"/>
        <v>15750000</v>
      </c>
    </row>
    <row r="105" spans="1:31" s="3" customFormat="1" ht="15.6" x14ac:dyDescent="0.3">
      <c r="A105" s="2">
        <f t="shared" si="39"/>
        <v>5</v>
      </c>
      <c r="B105" s="3" t="s">
        <v>143</v>
      </c>
      <c r="E105" s="18"/>
      <c r="F105" s="18" t="s">
        <v>264</v>
      </c>
      <c r="G105" s="21">
        <v>1500000</v>
      </c>
      <c r="H105" s="4">
        <v>0.25</v>
      </c>
      <c r="I105" s="12">
        <f t="shared" si="35"/>
        <v>375000</v>
      </c>
      <c r="J105" s="18"/>
      <c r="M105" s="51">
        <f t="shared" si="31"/>
        <v>0</v>
      </c>
      <c r="Q105" s="52">
        <f t="shared" si="36"/>
        <v>0</v>
      </c>
      <c r="U105" s="52">
        <f t="shared" si="37"/>
        <v>0</v>
      </c>
      <c r="Y105" s="52">
        <f t="shared" si="38"/>
        <v>0</v>
      </c>
      <c r="AB105" s="52">
        <f t="shared" si="32"/>
        <v>0</v>
      </c>
      <c r="AC105" s="39">
        <f t="shared" si="33"/>
        <v>1500000</v>
      </c>
      <c r="AD105" s="56">
        <f t="shared" si="34"/>
        <v>375000</v>
      </c>
    </row>
    <row r="106" spans="1:31" s="3" customFormat="1" ht="15.6" x14ac:dyDescent="0.3">
      <c r="A106" s="2">
        <f t="shared" si="39"/>
        <v>6</v>
      </c>
      <c r="B106" s="3" t="s">
        <v>144</v>
      </c>
      <c r="E106" s="18"/>
      <c r="F106" s="18" t="s">
        <v>264</v>
      </c>
      <c r="G106" s="21">
        <v>360000</v>
      </c>
      <c r="H106" s="4">
        <v>0.2</v>
      </c>
      <c r="I106" s="12">
        <f t="shared" si="35"/>
        <v>72000</v>
      </c>
      <c r="J106" s="18"/>
      <c r="M106" s="51">
        <f t="shared" ref="M106:M169" si="40">SUM(K106:L106)</f>
        <v>0</v>
      </c>
      <c r="Q106" s="52">
        <f t="shared" ref="Q106:Q169" si="41">SUM(N106:P106)</f>
        <v>0</v>
      </c>
      <c r="U106" s="52">
        <f t="shared" ref="U106:U169" si="42">SUM(R106:T106)</f>
        <v>0</v>
      </c>
      <c r="Y106" s="52">
        <f t="shared" ref="Y106:Y169" si="43">SUM(V106:X106)</f>
        <v>0</v>
      </c>
      <c r="AB106" s="52">
        <f t="shared" ref="AB106:AB169" si="44">SUM(Z106:AA106)</f>
        <v>0</v>
      </c>
      <c r="AC106" s="39">
        <f t="shared" ref="AC106:AC169" si="45">G106-K106-L106-N106-O106-P106-R106-S106-T106-V106-W106-X106-Z106-AA106</f>
        <v>360000</v>
      </c>
      <c r="AD106" s="56">
        <f t="shared" ref="AD106:AD169" si="46">AC106*H106</f>
        <v>72000</v>
      </c>
    </row>
    <row r="107" spans="1:31" s="3" customFormat="1" ht="15.6" x14ac:dyDescent="0.3">
      <c r="A107" s="2">
        <f t="shared" si="39"/>
        <v>7</v>
      </c>
      <c r="B107" s="3" t="s">
        <v>145</v>
      </c>
      <c r="E107" s="18"/>
      <c r="F107" s="18" t="s">
        <v>264</v>
      </c>
      <c r="G107" s="21">
        <v>250000</v>
      </c>
      <c r="H107" s="4">
        <v>1.5</v>
      </c>
      <c r="I107" s="12">
        <f t="shared" si="35"/>
        <v>375000</v>
      </c>
      <c r="J107" s="18"/>
      <c r="M107" s="51">
        <f t="shared" si="40"/>
        <v>0</v>
      </c>
      <c r="Q107" s="52">
        <f t="shared" si="41"/>
        <v>0</v>
      </c>
      <c r="U107" s="52">
        <f t="shared" si="42"/>
        <v>0</v>
      </c>
      <c r="Y107" s="52">
        <f t="shared" si="43"/>
        <v>0</v>
      </c>
      <c r="AB107" s="52">
        <f t="shared" si="44"/>
        <v>0</v>
      </c>
      <c r="AC107" s="39">
        <f t="shared" si="45"/>
        <v>250000</v>
      </c>
      <c r="AD107" s="56">
        <f t="shared" si="46"/>
        <v>375000</v>
      </c>
    </row>
    <row r="108" spans="1:31" s="3" customFormat="1" ht="15.6" x14ac:dyDescent="0.3">
      <c r="A108" s="2">
        <f t="shared" si="39"/>
        <v>8</v>
      </c>
      <c r="B108" s="3" t="s">
        <v>146</v>
      </c>
      <c r="E108" s="18"/>
      <c r="F108" s="18" t="s">
        <v>264</v>
      </c>
      <c r="G108" s="21">
        <v>250000</v>
      </c>
      <c r="H108" s="4">
        <v>0.3</v>
      </c>
      <c r="I108" s="12">
        <f t="shared" si="35"/>
        <v>75000</v>
      </c>
      <c r="J108" s="18"/>
      <c r="M108" s="51">
        <f t="shared" si="40"/>
        <v>0</v>
      </c>
      <c r="Q108" s="52">
        <f t="shared" si="41"/>
        <v>0</v>
      </c>
      <c r="U108" s="52">
        <f t="shared" si="42"/>
        <v>0</v>
      </c>
      <c r="Y108" s="52">
        <f t="shared" si="43"/>
        <v>0</v>
      </c>
      <c r="AB108" s="52">
        <f t="shared" si="44"/>
        <v>0</v>
      </c>
      <c r="AC108" s="39">
        <f t="shared" si="45"/>
        <v>250000</v>
      </c>
      <c r="AD108" s="56">
        <f t="shared" si="46"/>
        <v>75000</v>
      </c>
    </row>
    <row r="109" spans="1:31" s="3" customFormat="1" ht="15.6" x14ac:dyDescent="0.3">
      <c r="A109" s="2">
        <f t="shared" si="39"/>
        <v>9</v>
      </c>
      <c r="B109" s="3" t="s">
        <v>147</v>
      </c>
      <c r="E109" s="18"/>
      <c r="F109" s="18" t="s">
        <v>264</v>
      </c>
      <c r="G109" s="21">
        <v>135000</v>
      </c>
      <c r="H109" s="4">
        <v>0.25</v>
      </c>
      <c r="I109" s="12">
        <f t="shared" si="35"/>
        <v>33750</v>
      </c>
      <c r="J109" s="18"/>
      <c r="M109" s="51">
        <f t="shared" si="40"/>
        <v>0</v>
      </c>
      <c r="Q109" s="52">
        <f t="shared" si="41"/>
        <v>0</v>
      </c>
      <c r="U109" s="52">
        <f t="shared" si="42"/>
        <v>0</v>
      </c>
      <c r="Y109" s="52">
        <f t="shared" si="43"/>
        <v>0</v>
      </c>
      <c r="AB109" s="52">
        <f t="shared" si="44"/>
        <v>0</v>
      </c>
      <c r="AC109" s="39">
        <f t="shared" si="45"/>
        <v>135000</v>
      </c>
      <c r="AD109" s="56">
        <f t="shared" si="46"/>
        <v>33750</v>
      </c>
    </row>
    <row r="110" spans="1:31" s="3" customFormat="1" ht="15.6" x14ac:dyDescent="0.3">
      <c r="A110" s="2">
        <f t="shared" si="39"/>
        <v>10</v>
      </c>
      <c r="B110" s="3" t="s">
        <v>148</v>
      </c>
      <c r="E110" s="18"/>
      <c r="F110" s="18" t="s">
        <v>263</v>
      </c>
      <c r="G110" s="21">
        <v>500000</v>
      </c>
      <c r="H110" s="4">
        <v>2.5</v>
      </c>
      <c r="I110" s="12">
        <f t="shared" si="35"/>
        <v>1250000</v>
      </c>
      <c r="J110" s="18"/>
      <c r="M110" s="51">
        <f t="shared" si="40"/>
        <v>0</v>
      </c>
      <c r="Q110" s="52">
        <f t="shared" si="41"/>
        <v>0</v>
      </c>
      <c r="U110" s="52">
        <f t="shared" si="42"/>
        <v>0</v>
      </c>
      <c r="Y110" s="52">
        <f t="shared" si="43"/>
        <v>0</v>
      </c>
      <c r="AB110" s="52">
        <f t="shared" si="44"/>
        <v>0</v>
      </c>
      <c r="AC110" s="39">
        <f t="shared" si="45"/>
        <v>500000</v>
      </c>
      <c r="AD110" s="56">
        <f t="shared" si="46"/>
        <v>1250000</v>
      </c>
    </row>
    <row r="111" spans="1:31" s="3" customFormat="1" ht="15.6" x14ac:dyDescent="0.3">
      <c r="A111" s="2">
        <f t="shared" si="39"/>
        <v>11</v>
      </c>
      <c r="B111" s="3" t="s">
        <v>149</v>
      </c>
      <c r="E111" s="18"/>
      <c r="F111" s="18" t="s">
        <v>263</v>
      </c>
      <c r="G111" s="21">
        <v>45000</v>
      </c>
      <c r="H111" s="4">
        <v>4</v>
      </c>
      <c r="I111" s="12">
        <f t="shared" si="35"/>
        <v>180000</v>
      </c>
      <c r="J111" s="18"/>
      <c r="M111" s="51">
        <f t="shared" si="40"/>
        <v>0</v>
      </c>
      <c r="Q111" s="52">
        <f t="shared" si="41"/>
        <v>0</v>
      </c>
      <c r="U111" s="52">
        <f t="shared" si="42"/>
        <v>0</v>
      </c>
      <c r="Y111" s="52">
        <f t="shared" si="43"/>
        <v>0</v>
      </c>
      <c r="AB111" s="52">
        <f t="shared" si="44"/>
        <v>0</v>
      </c>
      <c r="AC111" s="39">
        <f t="shared" si="45"/>
        <v>45000</v>
      </c>
      <c r="AD111" s="56">
        <f t="shared" si="46"/>
        <v>180000</v>
      </c>
    </row>
    <row r="112" spans="1:31" s="3" customFormat="1" ht="15.6" x14ac:dyDescent="0.3">
      <c r="A112" s="2">
        <f t="shared" si="39"/>
        <v>12</v>
      </c>
      <c r="B112" s="3" t="s">
        <v>150</v>
      </c>
      <c r="E112" s="18"/>
      <c r="F112" s="18" t="s">
        <v>263</v>
      </c>
      <c r="G112" s="21">
        <v>45000</v>
      </c>
      <c r="H112" s="4">
        <v>3</v>
      </c>
      <c r="I112" s="12">
        <f t="shared" si="35"/>
        <v>135000</v>
      </c>
      <c r="J112" s="18"/>
      <c r="M112" s="51">
        <f t="shared" si="40"/>
        <v>0</v>
      </c>
      <c r="Q112" s="52">
        <f t="shared" si="41"/>
        <v>0</v>
      </c>
      <c r="U112" s="52">
        <f t="shared" si="42"/>
        <v>0</v>
      </c>
      <c r="Y112" s="52">
        <f t="shared" si="43"/>
        <v>0</v>
      </c>
      <c r="AB112" s="52">
        <f t="shared" si="44"/>
        <v>0</v>
      </c>
      <c r="AC112" s="39">
        <f t="shared" si="45"/>
        <v>45000</v>
      </c>
      <c r="AD112" s="56">
        <f t="shared" si="46"/>
        <v>135000</v>
      </c>
    </row>
    <row r="113" spans="1:30" s="3" customFormat="1" ht="15.6" x14ac:dyDescent="0.3">
      <c r="A113" s="2">
        <f t="shared" si="39"/>
        <v>13</v>
      </c>
      <c r="B113" s="3" t="s">
        <v>151</v>
      </c>
      <c r="E113" s="18"/>
      <c r="F113" s="18" t="s">
        <v>264</v>
      </c>
      <c r="G113" s="21">
        <v>1200000</v>
      </c>
      <c r="H113" s="4">
        <v>0.04</v>
      </c>
      <c r="I113" s="12">
        <f t="shared" si="35"/>
        <v>48000</v>
      </c>
      <c r="J113" s="18"/>
      <c r="M113" s="51">
        <f t="shared" si="40"/>
        <v>0</v>
      </c>
      <c r="Q113" s="52">
        <f t="shared" si="41"/>
        <v>0</v>
      </c>
      <c r="U113" s="52">
        <f t="shared" si="42"/>
        <v>0</v>
      </c>
      <c r="Y113" s="52">
        <f t="shared" si="43"/>
        <v>0</v>
      </c>
      <c r="AB113" s="52">
        <f t="shared" si="44"/>
        <v>0</v>
      </c>
      <c r="AC113" s="39">
        <f t="shared" si="45"/>
        <v>1200000</v>
      </c>
      <c r="AD113" s="56">
        <f t="shared" si="46"/>
        <v>48000</v>
      </c>
    </row>
    <row r="114" spans="1:30" s="3" customFormat="1" ht="15.6" x14ac:dyDescent="0.3">
      <c r="A114" s="2">
        <f t="shared" si="39"/>
        <v>14</v>
      </c>
      <c r="B114" s="3" t="s">
        <v>152</v>
      </c>
      <c r="E114" s="18"/>
      <c r="F114" s="18" t="s">
        <v>265</v>
      </c>
      <c r="G114" s="21">
        <v>750000</v>
      </c>
      <c r="H114" s="4">
        <v>0.2</v>
      </c>
      <c r="I114" s="12">
        <f t="shared" si="35"/>
        <v>150000</v>
      </c>
      <c r="J114" s="18"/>
      <c r="M114" s="51">
        <f t="shared" si="40"/>
        <v>0</v>
      </c>
      <c r="Q114" s="52">
        <f t="shared" si="41"/>
        <v>0</v>
      </c>
      <c r="U114" s="52">
        <f t="shared" si="42"/>
        <v>0</v>
      </c>
      <c r="Y114" s="52">
        <f t="shared" si="43"/>
        <v>0</v>
      </c>
      <c r="AB114" s="52">
        <f t="shared" si="44"/>
        <v>0</v>
      </c>
      <c r="AC114" s="39">
        <f t="shared" si="45"/>
        <v>750000</v>
      </c>
      <c r="AD114" s="56">
        <f t="shared" si="46"/>
        <v>150000</v>
      </c>
    </row>
    <row r="115" spans="1:30" s="3" customFormat="1" ht="15.6" x14ac:dyDescent="0.3">
      <c r="A115" s="2">
        <f t="shared" si="39"/>
        <v>15</v>
      </c>
      <c r="B115" s="3" t="s">
        <v>153</v>
      </c>
      <c r="E115" s="18"/>
      <c r="F115" s="18" t="s">
        <v>265</v>
      </c>
      <c r="G115" s="21">
        <v>750000</v>
      </c>
      <c r="H115" s="4">
        <v>0.2</v>
      </c>
      <c r="I115" s="12">
        <f t="shared" si="35"/>
        <v>150000</v>
      </c>
      <c r="J115" s="18"/>
      <c r="M115" s="51">
        <f t="shared" si="40"/>
        <v>0</v>
      </c>
      <c r="Q115" s="52">
        <f t="shared" si="41"/>
        <v>0</v>
      </c>
      <c r="U115" s="52">
        <f t="shared" si="42"/>
        <v>0</v>
      </c>
      <c r="Y115" s="52">
        <f t="shared" si="43"/>
        <v>0</v>
      </c>
      <c r="AB115" s="52">
        <f t="shared" si="44"/>
        <v>0</v>
      </c>
      <c r="AC115" s="39">
        <f t="shared" si="45"/>
        <v>750000</v>
      </c>
      <c r="AD115" s="56">
        <f t="shared" si="46"/>
        <v>150000</v>
      </c>
    </row>
    <row r="116" spans="1:30" s="3" customFormat="1" ht="15.6" x14ac:dyDescent="0.3">
      <c r="A116" s="2">
        <f t="shared" si="39"/>
        <v>16</v>
      </c>
      <c r="B116" s="3" t="s">
        <v>154</v>
      </c>
      <c r="E116" s="18"/>
      <c r="F116" s="18" t="s">
        <v>265</v>
      </c>
      <c r="G116" s="21">
        <v>750000</v>
      </c>
      <c r="H116" s="4">
        <v>0.15</v>
      </c>
      <c r="I116" s="12">
        <f t="shared" si="35"/>
        <v>112500</v>
      </c>
      <c r="J116" s="18"/>
      <c r="M116" s="51">
        <f t="shared" si="40"/>
        <v>0</v>
      </c>
      <c r="Q116" s="52">
        <f t="shared" si="41"/>
        <v>0</v>
      </c>
      <c r="U116" s="52">
        <f t="shared" si="42"/>
        <v>0</v>
      </c>
      <c r="Y116" s="52">
        <f t="shared" si="43"/>
        <v>0</v>
      </c>
      <c r="AB116" s="52">
        <f t="shared" si="44"/>
        <v>0</v>
      </c>
      <c r="AC116" s="39">
        <f t="shared" si="45"/>
        <v>750000</v>
      </c>
      <c r="AD116" s="56">
        <f t="shared" si="46"/>
        <v>112500</v>
      </c>
    </row>
    <row r="117" spans="1:30" s="3" customFormat="1" ht="15.6" x14ac:dyDescent="0.3">
      <c r="A117" s="2">
        <f t="shared" si="39"/>
        <v>17</v>
      </c>
      <c r="B117" s="3" t="s">
        <v>155</v>
      </c>
      <c r="E117" s="18"/>
      <c r="F117" s="18" t="s">
        <v>265</v>
      </c>
      <c r="G117" s="21">
        <v>500000</v>
      </c>
      <c r="H117" s="4">
        <v>0.15</v>
      </c>
      <c r="I117" s="12">
        <f t="shared" si="35"/>
        <v>75000</v>
      </c>
      <c r="J117" s="18"/>
      <c r="M117" s="51">
        <f t="shared" si="40"/>
        <v>0</v>
      </c>
      <c r="Q117" s="52">
        <f t="shared" si="41"/>
        <v>0</v>
      </c>
      <c r="U117" s="52">
        <f t="shared" si="42"/>
        <v>0</v>
      </c>
      <c r="Y117" s="52">
        <f t="shared" si="43"/>
        <v>0</v>
      </c>
      <c r="AB117" s="52">
        <f t="shared" si="44"/>
        <v>0</v>
      </c>
      <c r="AC117" s="39">
        <f t="shared" si="45"/>
        <v>500000</v>
      </c>
      <c r="AD117" s="56">
        <f t="shared" si="46"/>
        <v>75000</v>
      </c>
    </row>
    <row r="118" spans="1:30" s="3" customFormat="1" ht="15.6" x14ac:dyDescent="0.3">
      <c r="A118" s="2">
        <f t="shared" si="39"/>
        <v>18</v>
      </c>
      <c r="B118" s="3" t="s">
        <v>156</v>
      </c>
      <c r="E118" s="18"/>
      <c r="F118" s="18" t="s">
        <v>265</v>
      </c>
      <c r="G118" s="21">
        <v>500000</v>
      </c>
      <c r="H118" s="4">
        <v>0.25</v>
      </c>
      <c r="I118" s="12">
        <f t="shared" si="35"/>
        <v>125000</v>
      </c>
      <c r="J118" s="18"/>
      <c r="M118" s="51">
        <f t="shared" si="40"/>
        <v>0</v>
      </c>
      <c r="Q118" s="52">
        <f t="shared" si="41"/>
        <v>0</v>
      </c>
      <c r="U118" s="52">
        <f t="shared" si="42"/>
        <v>0</v>
      </c>
      <c r="Y118" s="52">
        <f t="shared" si="43"/>
        <v>0</v>
      </c>
      <c r="AB118" s="52">
        <f t="shared" si="44"/>
        <v>0</v>
      </c>
      <c r="AC118" s="39">
        <f t="shared" si="45"/>
        <v>500000</v>
      </c>
      <c r="AD118" s="56">
        <f t="shared" si="46"/>
        <v>125000</v>
      </c>
    </row>
    <row r="119" spans="1:30" s="3" customFormat="1" ht="15.6" x14ac:dyDescent="0.3">
      <c r="A119" s="2">
        <f t="shared" si="39"/>
        <v>19</v>
      </c>
      <c r="B119" s="3" t="s">
        <v>157</v>
      </c>
      <c r="E119" s="18"/>
      <c r="F119" s="18" t="s">
        <v>265</v>
      </c>
      <c r="G119" s="21">
        <v>500000</v>
      </c>
      <c r="H119" s="4">
        <v>0.25</v>
      </c>
      <c r="I119" s="12">
        <f t="shared" si="35"/>
        <v>125000</v>
      </c>
      <c r="J119" s="18"/>
      <c r="M119" s="51">
        <f t="shared" si="40"/>
        <v>0</v>
      </c>
      <c r="Q119" s="52">
        <f t="shared" si="41"/>
        <v>0</v>
      </c>
      <c r="U119" s="52">
        <f t="shared" si="42"/>
        <v>0</v>
      </c>
      <c r="Y119" s="52">
        <f t="shared" si="43"/>
        <v>0</v>
      </c>
      <c r="AB119" s="52">
        <f t="shared" si="44"/>
        <v>0</v>
      </c>
      <c r="AC119" s="39">
        <f t="shared" si="45"/>
        <v>500000</v>
      </c>
      <c r="AD119" s="56">
        <f t="shared" si="46"/>
        <v>125000</v>
      </c>
    </row>
    <row r="120" spans="1:30" s="3" customFormat="1" ht="15.6" x14ac:dyDescent="0.3">
      <c r="A120" s="2">
        <f t="shared" si="39"/>
        <v>20</v>
      </c>
      <c r="B120" s="3" t="s">
        <v>158</v>
      </c>
      <c r="E120" s="18"/>
      <c r="F120" s="18" t="s">
        <v>265</v>
      </c>
      <c r="G120" s="21">
        <v>500000</v>
      </c>
      <c r="H120" s="4">
        <v>0.2</v>
      </c>
      <c r="I120" s="12">
        <f t="shared" si="35"/>
        <v>100000</v>
      </c>
      <c r="J120" s="18"/>
      <c r="M120" s="51">
        <f t="shared" si="40"/>
        <v>0</v>
      </c>
      <c r="Q120" s="52">
        <f t="shared" si="41"/>
        <v>0</v>
      </c>
      <c r="U120" s="52">
        <f t="shared" si="42"/>
        <v>0</v>
      </c>
      <c r="Y120" s="52">
        <f t="shared" si="43"/>
        <v>0</v>
      </c>
      <c r="AB120" s="52">
        <f t="shared" si="44"/>
        <v>0</v>
      </c>
      <c r="AC120" s="39">
        <f t="shared" si="45"/>
        <v>500000</v>
      </c>
      <c r="AD120" s="56">
        <f t="shared" si="46"/>
        <v>100000</v>
      </c>
    </row>
    <row r="121" spans="1:30" s="3" customFormat="1" ht="15.6" x14ac:dyDescent="0.3">
      <c r="A121" s="2">
        <f t="shared" si="39"/>
        <v>21</v>
      </c>
      <c r="B121" s="3" t="s">
        <v>159</v>
      </c>
      <c r="E121" s="18"/>
      <c r="F121" s="18" t="s">
        <v>265</v>
      </c>
      <c r="G121" s="21">
        <v>500000</v>
      </c>
      <c r="H121" s="4">
        <v>0.15</v>
      </c>
      <c r="I121" s="12">
        <f t="shared" si="35"/>
        <v>75000</v>
      </c>
      <c r="J121" s="18"/>
      <c r="M121" s="51">
        <f t="shared" si="40"/>
        <v>0</v>
      </c>
      <c r="Q121" s="52">
        <f t="shared" si="41"/>
        <v>0</v>
      </c>
      <c r="U121" s="52">
        <f t="shared" si="42"/>
        <v>0</v>
      </c>
      <c r="Y121" s="52">
        <f t="shared" si="43"/>
        <v>0</v>
      </c>
      <c r="AB121" s="52">
        <f t="shared" si="44"/>
        <v>0</v>
      </c>
      <c r="AC121" s="39">
        <f t="shared" si="45"/>
        <v>500000</v>
      </c>
      <c r="AD121" s="56">
        <f t="shared" si="46"/>
        <v>75000</v>
      </c>
    </row>
    <row r="122" spans="1:30" s="3" customFormat="1" ht="15.6" x14ac:dyDescent="0.3">
      <c r="A122" s="2">
        <f t="shared" si="39"/>
        <v>22</v>
      </c>
      <c r="B122" s="3" t="s">
        <v>160</v>
      </c>
      <c r="E122" s="18"/>
      <c r="F122" s="18" t="s">
        <v>265</v>
      </c>
      <c r="G122" s="21">
        <v>500000</v>
      </c>
      <c r="H122" s="4">
        <v>0.2</v>
      </c>
      <c r="I122" s="12">
        <f t="shared" si="35"/>
        <v>100000</v>
      </c>
      <c r="J122" s="18"/>
      <c r="M122" s="51">
        <f t="shared" si="40"/>
        <v>0</v>
      </c>
      <c r="Q122" s="52">
        <f t="shared" si="41"/>
        <v>0</v>
      </c>
      <c r="U122" s="52">
        <f t="shared" si="42"/>
        <v>0</v>
      </c>
      <c r="Y122" s="52">
        <f t="shared" si="43"/>
        <v>0</v>
      </c>
      <c r="AB122" s="52">
        <f t="shared" si="44"/>
        <v>0</v>
      </c>
      <c r="AC122" s="39">
        <f t="shared" si="45"/>
        <v>500000</v>
      </c>
      <c r="AD122" s="56">
        <f t="shared" si="46"/>
        <v>100000</v>
      </c>
    </row>
    <row r="123" spans="1:30" s="3" customFormat="1" ht="15.6" x14ac:dyDescent="0.3">
      <c r="A123" s="2">
        <f t="shared" si="39"/>
        <v>23</v>
      </c>
      <c r="B123" s="3" t="s">
        <v>161</v>
      </c>
      <c r="E123" s="18"/>
      <c r="F123" s="18" t="s">
        <v>265</v>
      </c>
      <c r="G123" s="21">
        <v>500000</v>
      </c>
      <c r="H123" s="4">
        <v>0.2</v>
      </c>
      <c r="I123" s="12">
        <f t="shared" si="35"/>
        <v>100000</v>
      </c>
      <c r="J123" s="18"/>
      <c r="M123" s="51">
        <f t="shared" si="40"/>
        <v>0</v>
      </c>
      <c r="Q123" s="52">
        <f t="shared" si="41"/>
        <v>0</v>
      </c>
      <c r="U123" s="52">
        <f t="shared" si="42"/>
        <v>0</v>
      </c>
      <c r="Y123" s="52">
        <f t="shared" si="43"/>
        <v>0</v>
      </c>
      <c r="AB123" s="52">
        <f t="shared" si="44"/>
        <v>0</v>
      </c>
      <c r="AC123" s="39">
        <f t="shared" si="45"/>
        <v>500000</v>
      </c>
      <c r="AD123" s="56">
        <f t="shared" si="46"/>
        <v>100000</v>
      </c>
    </row>
    <row r="124" spans="1:30" s="3" customFormat="1" ht="15.6" x14ac:dyDescent="0.3">
      <c r="A124" s="2">
        <f t="shared" si="39"/>
        <v>24</v>
      </c>
      <c r="B124" s="3" t="s">
        <v>162</v>
      </c>
      <c r="E124" s="18"/>
      <c r="F124" s="18" t="s">
        <v>266</v>
      </c>
      <c r="G124" s="21">
        <v>120000</v>
      </c>
      <c r="H124" s="4">
        <v>1.5</v>
      </c>
      <c r="I124" s="12">
        <f t="shared" si="35"/>
        <v>180000</v>
      </c>
      <c r="J124" s="18"/>
      <c r="M124" s="51">
        <f t="shared" si="40"/>
        <v>0</v>
      </c>
      <c r="Q124" s="52">
        <f t="shared" si="41"/>
        <v>0</v>
      </c>
      <c r="U124" s="52">
        <f t="shared" si="42"/>
        <v>0</v>
      </c>
      <c r="Y124" s="52">
        <f t="shared" si="43"/>
        <v>0</v>
      </c>
      <c r="AB124" s="52">
        <f t="shared" si="44"/>
        <v>0</v>
      </c>
      <c r="AC124" s="39">
        <f t="shared" si="45"/>
        <v>120000</v>
      </c>
      <c r="AD124" s="56">
        <f t="shared" si="46"/>
        <v>180000</v>
      </c>
    </row>
    <row r="125" spans="1:30" s="3" customFormat="1" ht="15.6" x14ac:dyDescent="0.3">
      <c r="A125" s="2">
        <f t="shared" si="39"/>
        <v>25</v>
      </c>
      <c r="B125" s="3" t="s">
        <v>163</v>
      </c>
      <c r="E125" s="18"/>
      <c r="F125" s="18" t="s">
        <v>266</v>
      </c>
      <c r="G125" s="21">
        <v>120000</v>
      </c>
      <c r="H125" s="4">
        <v>1</v>
      </c>
      <c r="I125" s="12">
        <f t="shared" si="35"/>
        <v>120000</v>
      </c>
      <c r="J125" s="18"/>
      <c r="M125" s="51">
        <f t="shared" si="40"/>
        <v>0</v>
      </c>
      <c r="Q125" s="52">
        <f t="shared" si="41"/>
        <v>0</v>
      </c>
      <c r="U125" s="52">
        <f t="shared" si="42"/>
        <v>0</v>
      </c>
      <c r="Y125" s="52">
        <f t="shared" si="43"/>
        <v>0</v>
      </c>
      <c r="AB125" s="52">
        <f t="shared" si="44"/>
        <v>0</v>
      </c>
      <c r="AC125" s="39">
        <f t="shared" si="45"/>
        <v>120000</v>
      </c>
      <c r="AD125" s="56">
        <f t="shared" si="46"/>
        <v>120000</v>
      </c>
    </row>
    <row r="126" spans="1:30" s="3" customFormat="1" ht="15.6" x14ac:dyDescent="0.3">
      <c r="A126" s="2">
        <f t="shared" si="39"/>
        <v>26</v>
      </c>
      <c r="B126" s="3" t="s">
        <v>164</v>
      </c>
      <c r="E126" s="18"/>
      <c r="F126" s="18" t="s">
        <v>265</v>
      </c>
      <c r="G126" s="21">
        <v>150000</v>
      </c>
      <c r="H126" s="4">
        <v>1</v>
      </c>
      <c r="I126" s="12">
        <f t="shared" si="35"/>
        <v>150000</v>
      </c>
      <c r="J126" s="18"/>
      <c r="M126" s="51">
        <f t="shared" si="40"/>
        <v>0</v>
      </c>
      <c r="Q126" s="52">
        <f t="shared" si="41"/>
        <v>0</v>
      </c>
      <c r="U126" s="52">
        <f t="shared" si="42"/>
        <v>0</v>
      </c>
      <c r="Y126" s="52">
        <f t="shared" si="43"/>
        <v>0</v>
      </c>
      <c r="AB126" s="52">
        <f t="shared" si="44"/>
        <v>0</v>
      </c>
      <c r="AC126" s="39">
        <f t="shared" si="45"/>
        <v>150000</v>
      </c>
      <c r="AD126" s="56">
        <f t="shared" si="46"/>
        <v>150000</v>
      </c>
    </row>
    <row r="127" spans="1:30" s="3" customFormat="1" ht="15.6" x14ac:dyDescent="0.3">
      <c r="A127" s="2">
        <f t="shared" si="39"/>
        <v>27</v>
      </c>
      <c r="B127" s="3" t="s">
        <v>165</v>
      </c>
      <c r="E127" s="18"/>
      <c r="F127" s="18" t="s">
        <v>265</v>
      </c>
      <c r="G127" s="21">
        <v>150000</v>
      </c>
      <c r="H127" s="4">
        <v>0.75</v>
      </c>
      <c r="I127" s="12">
        <f t="shared" si="35"/>
        <v>112500</v>
      </c>
      <c r="J127" s="18"/>
      <c r="M127" s="51">
        <f t="shared" si="40"/>
        <v>0</v>
      </c>
      <c r="Q127" s="52">
        <f t="shared" si="41"/>
        <v>0</v>
      </c>
      <c r="U127" s="52">
        <f t="shared" si="42"/>
        <v>0</v>
      </c>
      <c r="Y127" s="52">
        <f t="shared" si="43"/>
        <v>0</v>
      </c>
      <c r="AB127" s="52">
        <f t="shared" si="44"/>
        <v>0</v>
      </c>
      <c r="AC127" s="39">
        <f t="shared" si="45"/>
        <v>150000</v>
      </c>
      <c r="AD127" s="56">
        <f t="shared" si="46"/>
        <v>112500</v>
      </c>
    </row>
    <row r="128" spans="1:30" s="3" customFormat="1" ht="15.6" x14ac:dyDescent="0.3">
      <c r="A128" s="2">
        <f t="shared" si="39"/>
        <v>28</v>
      </c>
      <c r="B128" s="3" t="s">
        <v>166</v>
      </c>
      <c r="E128" s="18"/>
      <c r="F128" s="18" t="s">
        <v>266</v>
      </c>
      <c r="G128" s="21">
        <v>200000</v>
      </c>
      <c r="H128" s="4">
        <v>3</v>
      </c>
      <c r="I128" s="12">
        <f t="shared" si="35"/>
        <v>600000</v>
      </c>
      <c r="J128" s="18"/>
      <c r="M128" s="51">
        <f t="shared" si="40"/>
        <v>0</v>
      </c>
      <c r="Q128" s="52">
        <f t="shared" si="41"/>
        <v>0</v>
      </c>
      <c r="U128" s="52">
        <f t="shared" si="42"/>
        <v>0</v>
      </c>
      <c r="Y128" s="52">
        <f t="shared" si="43"/>
        <v>0</v>
      </c>
      <c r="AB128" s="52">
        <f t="shared" si="44"/>
        <v>0</v>
      </c>
      <c r="AC128" s="39">
        <f t="shared" si="45"/>
        <v>200000</v>
      </c>
      <c r="AD128" s="56">
        <f t="shared" si="46"/>
        <v>600000</v>
      </c>
    </row>
    <row r="129" spans="1:30" s="3" customFormat="1" ht="15.6" x14ac:dyDescent="0.3">
      <c r="A129" s="2">
        <f t="shared" si="39"/>
        <v>29</v>
      </c>
      <c r="B129" s="3" t="s">
        <v>167</v>
      </c>
      <c r="E129" s="18"/>
      <c r="F129" s="18" t="s">
        <v>263</v>
      </c>
      <c r="G129" s="21">
        <v>75000</v>
      </c>
      <c r="H129" s="4">
        <v>3</v>
      </c>
      <c r="I129" s="12">
        <f t="shared" si="35"/>
        <v>225000</v>
      </c>
      <c r="J129" s="18"/>
      <c r="M129" s="51">
        <f t="shared" si="40"/>
        <v>0</v>
      </c>
      <c r="Q129" s="52">
        <f t="shared" si="41"/>
        <v>0</v>
      </c>
      <c r="U129" s="52">
        <f t="shared" si="42"/>
        <v>0</v>
      </c>
      <c r="Y129" s="52">
        <f t="shared" si="43"/>
        <v>0</v>
      </c>
      <c r="AB129" s="52">
        <f t="shared" si="44"/>
        <v>0</v>
      </c>
      <c r="AC129" s="39">
        <f t="shared" si="45"/>
        <v>75000</v>
      </c>
      <c r="AD129" s="56">
        <f t="shared" si="46"/>
        <v>225000</v>
      </c>
    </row>
    <row r="130" spans="1:30" s="3" customFormat="1" ht="15.6" x14ac:dyDescent="0.3">
      <c r="A130" s="2">
        <f t="shared" si="39"/>
        <v>30</v>
      </c>
      <c r="B130" s="3" t="s">
        <v>168</v>
      </c>
      <c r="E130" s="18"/>
      <c r="F130" s="18" t="s">
        <v>264</v>
      </c>
      <c r="G130" s="21">
        <v>2500000</v>
      </c>
      <c r="H130" s="4">
        <v>0.25</v>
      </c>
      <c r="I130" s="12">
        <f t="shared" si="35"/>
        <v>625000</v>
      </c>
      <c r="J130" s="18"/>
      <c r="M130" s="51">
        <f t="shared" si="40"/>
        <v>0</v>
      </c>
      <c r="Q130" s="52">
        <f t="shared" si="41"/>
        <v>0</v>
      </c>
      <c r="U130" s="52">
        <f t="shared" si="42"/>
        <v>0</v>
      </c>
      <c r="Y130" s="52">
        <f t="shared" si="43"/>
        <v>0</v>
      </c>
      <c r="AB130" s="52">
        <f t="shared" si="44"/>
        <v>0</v>
      </c>
      <c r="AC130" s="39">
        <f t="shared" si="45"/>
        <v>2500000</v>
      </c>
      <c r="AD130" s="56">
        <f t="shared" si="46"/>
        <v>625000</v>
      </c>
    </row>
    <row r="131" spans="1:30" s="3" customFormat="1" ht="15.6" x14ac:dyDescent="0.3">
      <c r="A131" s="2">
        <f t="shared" si="39"/>
        <v>31</v>
      </c>
      <c r="B131" s="3" t="s">
        <v>169</v>
      </c>
      <c r="E131" s="18"/>
      <c r="F131" s="18" t="s">
        <v>266</v>
      </c>
      <c r="G131" s="21">
        <v>65000</v>
      </c>
      <c r="H131" s="4">
        <v>1.2</v>
      </c>
      <c r="I131" s="12">
        <f t="shared" si="35"/>
        <v>78000</v>
      </c>
      <c r="J131" s="18"/>
      <c r="M131" s="51">
        <f t="shared" si="40"/>
        <v>0</v>
      </c>
      <c r="Q131" s="52">
        <f t="shared" si="41"/>
        <v>0</v>
      </c>
      <c r="U131" s="52">
        <f t="shared" si="42"/>
        <v>0</v>
      </c>
      <c r="Y131" s="52">
        <f t="shared" si="43"/>
        <v>0</v>
      </c>
      <c r="AB131" s="52">
        <f t="shared" si="44"/>
        <v>0</v>
      </c>
      <c r="AC131" s="39">
        <f t="shared" si="45"/>
        <v>65000</v>
      </c>
      <c r="AD131" s="56">
        <f t="shared" si="46"/>
        <v>78000</v>
      </c>
    </row>
    <row r="132" spans="1:30" s="3" customFormat="1" ht="15.6" x14ac:dyDescent="0.3">
      <c r="A132" s="2">
        <f t="shared" si="39"/>
        <v>32</v>
      </c>
      <c r="B132" s="3" t="s">
        <v>170</v>
      </c>
      <c r="E132" s="18"/>
      <c r="F132" s="18" t="s">
        <v>267</v>
      </c>
      <c r="G132" s="21">
        <v>170000</v>
      </c>
      <c r="H132" s="4">
        <v>0.6</v>
      </c>
      <c r="I132" s="12">
        <f t="shared" si="35"/>
        <v>102000</v>
      </c>
      <c r="J132" s="18"/>
      <c r="M132" s="51">
        <f t="shared" si="40"/>
        <v>0</v>
      </c>
      <c r="Q132" s="52">
        <f t="shared" si="41"/>
        <v>0</v>
      </c>
      <c r="U132" s="52">
        <f t="shared" si="42"/>
        <v>0</v>
      </c>
      <c r="Y132" s="52">
        <f t="shared" si="43"/>
        <v>0</v>
      </c>
      <c r="AB132" s="52">
        <f t="shared" si="44"/>
        <v>0</v>
      </c>
      <c r="AC132" s="39">
        <f t="shared" si="45"/>
        <v>170000</v>
      </c>
      <c r="AD132" s="56">
        <f t="shared" si="46"/>
        <v>102000</v>
      </c>
    </row>
    <row r="133" spans="1:30" s="3" customFormat="1" ht="15.6" x14ac:dyDescent="0.3">
      <c r="A133" s="2">
        <f t="shared" si="39"/>
        <v>33</v>
      </c>
      <c r="B133" s="3" t="s">
        <v>171</v>
      </c>
      <c r="E133" s="18"/>
      <c r="F133" s="18" t="s">
        <v>267</v>
      </c>
      <c r="G133" s="21">
        <v>170000</v>
      </c>
      <c r="H133" s="4">
        <v>0.6</v>
      </c>
      <c r="I133" s="12">
        <f t="shared" si="35"/>
        <v>102000</v>
      </c>
      <c r="J133" s="18"/>
      <c r="M133" s="51">
        <f t="shared" si="40"/>
        <v>0</v>
      </c>
      <c r="Q133" s="52">
        <f t="shared" si="41"/>
        <v>0</v>
      </c>
      <c r="U133" s="52">
        <f t="shared" si="42"/>
        <v>0</v>
      </c>
      <c r="Y133" s="52">
        <f t="shared" si="43"/>
        <v>0</v>
      </c>
      <c r="AB133" s="52">
        <f t="shared" si="44"/>
        <v>0</v>
      </c>
      <c r="AC133" s="39">
        <f t="shared" si="45"/>
        <v>170000</v>
      </c>
      <c r="AD133" s="56">
        <f t="shared" si="46"/>
        <v>102000</v>
      </c>
    </row>
    <row r="134" spans="1:30" s="3" customFormat="1" ht="15.6" x14ac:dyDescent="0.3">
      <c r="A134" s="2">
        <f t="shared" si="39"/>
        <v>34</v>
      </c>
      <c r="B134" s="3" t="s">
        <v>172</v>
      </c>
      <c r="E134" s="18"/>
      <c r="F134" s="18" t="s">
        <v>265</v>
      </c>
      <c r="G134" s="21">
        <v>750000</v>
      </c>
      <c r="H134" s="4">
        <v>0.65</v>
      </c>
      <c r="I134" s="12">
        <f t="shared" si="35"/>
        <v>487500</v>
      </c>
      <c r="J134" s="18"/>
      <c r="M134" s="51">
        <f t="shared" si="40"/>
        <v>0</v>
      </c>
      <c r="Q134" s="52">
        <f t="shared" si="41"/>
        <v>0</v>
      </c>
      <c r="U134" s="52">
        <f t="shared" si="42"/>
        <v>0</v>
      </c>
      <c r="Y134" s="52">
        <f t="shared" si="43"/>
        <v>0</v>
      </c>
      <c r="AB134" s="52">
        <f t="shared" si="44"/>
        <v>0</v>
      </c>
      <c r="AC134" s="39">
        <f t="shared" si="45"/>
        <v>750000</v>
      </c>
      <c r="AD134" s="56">
        <f t="shared" si="46"/>
        <v>487500</v>
      </c>
    </row>
    <row r="135" spans="1:30" s="3" customFormat="1" ht="15.6" x14ac:dyDescent="0.3">
      <c r="A135" s="2">
        <f t="shared" si="39"/>
        <v>35</v>
      </c>
      <c r="B135" s="3" t="s">
        <v>173</v>
      </c>
      <c r="E135" s="18"/>
      <c r="F135" s="18" t="s">
        <v>265</v>
      </c>
      <c r="G135" s="21">
        <v>170000</v>
      </c>
      <c r="H135" s="4">
        <v>1</v>
      </c>
      <c r="I135" s="12">
        <f t="shared" si="35"/>
        <v>170000</v>
      </c>
      <c r="J135" s="18"/>
      <c r="M135" s="51">
        <f t="shared" si="40"/>
        <v>0</v>
      </c>
      <c r="Q135" s="52">
        <f t="shared" si="41"/>
        <v>0</v>
      </c>
      <c r="U135" s="52">
        <f t="shared" si="42"/>
        <v>0</v>
      </c>
      <c r="Y135" s="52">
        <f t="shared" si="43"/>
        <v>0</v>
      </c>
      <c r="AB135" s="52">
        <f t="shared" si="44"/>
        <v>0</v>
      </c>
      <c r="AC135" s="39">
        <f t="shared" si="45"/>
        <v>170000</v>
      </c>
      <c r="AD135" s="56">
        <f t="shared" si="46"/>
        <v>170000</v>
      </c>
    </row>
    <row r="136" spans="1:30" s="3" customFormat="1" ht="15.6" x14ac:dyDescent="0.3">
      <c r="A136" s="2">
        <f t="shared" si="39"/>
        <v>36</v>
      </c>
      <c r="B136" s="3" t="s">
        <v>174</v>
      </c>
      <c r="E136" s="18"/>
      <c r="F136" s="18" t="s">
        <v>265</v>
      </c>
      <c r="G136" s="21">
        <v>250000</v>
      </c>
      <c r="H136" s="4">
        <v>0.25</v>
      </c>
      <c r="I136" s="12">
        <f t="shared" si="35"/>
        <v>62500</v>
      </c>
      <c r="J136" s="18"/>
      <c r="M136" s="51">
        <f t="shared" si="40"/>
        <v>0</v>
      </c>
      <c r="Q136" s="52">
        <f t="shared" si="41"/>
        <v>0</v>
      </c>
      <c r="U136" s="52">
        <f t="shared" si="42"/>
        <v>0</v>
      </c>
      <c r="Y136" s="52">
        <f t="shared" si="43"/>
        <v>0</v>
      </c>
      <c r="AB136" s="52">
        <f t="shared" si="44"/>
        <v>0</v>
      </c>
      <c r="AC136" s="39">
        <f t="shared" si="45"/>
        <v>250000</v>
      </c>
      <c r="AD136" s="56">
        <f t="shared" si="46"/>
        <v>62500</v>
      </c>
    </row>
    <row r="137" spans="1:30" s="3" customFormat="1" ht="15.6" x14ac:dyDescent="0.3">
      <c r="A137" s="2">
        <f t="shared" si="39"/>
        <v>37</v>
      </c>
      <c r="B137" s="3" t="s">
        <v>175</v>
      </c>
      <c r="E137" s="18"/>
      <c r="F137" s="18" t="s">
        <v>263</v>
      </c>
      <c r="G137" s="21">
        <v>170000</v>
      </c>
      <c r="H137" s="4">
        <v>0.45</v>
      </c>
      <c r="I137" s="12">
        <f t="shared" si="35"/>
        <v>76500</v>
      </c>
      <c r="J137" s="18"/>
      <c r="M137" s="51">
        <f t="shared" si="40"/>
        <v>0</v>
      </c>
      <c r="Q137" s="52">
        <f t="shared" si="41"/>
        <v>0</v>
      </c>
      <c r="U137" s="52">
        <f t="shared" si="42"/>
        <v>0</v>
      </c>
      <c r="Y137" s="52">
        <f t="shared" si="43"/>
        <v>0</v>
      </c>
      <c r="AB137" s="52">
        <f t="shared" si="44"/>
        <v>0</v>
      </c>
      <c r="AC137" s="39">
        <f t="shared" si="45"/>
        <v>170000</v>
      </c>
      <c r="AD137" s="56">
        <f t="shared" si="46"/>
        <v>76500</v>
      </c>
    </row>
    <row r="138" spans="1:30" s="3" customFormat="1" ht="15.6" x14ac:dyDescent="0.3">
      <c r="A138" s="2">
        <f t="shared" si="39"/>
        <v>38</v>
      </c>
      <c r="B138" s="3" t="s">
        <v>176</v>
      </c>
      <c r="E138" s="18"/>
      <c r="F138" s="18" t="s">
        <v>264</v>
      </c>
      <c r="G138" s="21">
        <v>120000</v>
      </c>
      <c r="H138" s="4">
        <v>0.15</v>
      </c>
      <c r="I138" s="12">
        <f t="shared" si="35"/>
        <v>18000</v>
      </c>
      <c r="J138" s="18"/>
      <c r="M138" s="51">
        <f t="shared" si="40"/>
        <v>0</v>
      </c>
      <c r="Q138" s="52">
        <f t="shared" si="41"/>
        <v>0</v>
      </c>
      <c r="U138" s="52">
        <f t="shared" si="42"/>
        <v>0</v>
      </c>
      <c r="Y138" s="52">
        <f t="shared" si="43"/>
        <v>0</v>
      </c>
      <c r="AB138" s="52">
        <f t="shared" si="44"/>
        <v>0</v>
      </c>
      <c r="AC138" s="39">
        <f t="shared" si="45"/>
        <v>120000</v>
      </c>
      <c r="AD138" s="56">
        <f t="shared" si="46"/>
        <v>18000</v>
      </c>
    </row>
    <row r="139" spans="1:30" s="3" customFormat="1" ht="15.6" x14ac:dyDescent="0.3">
      <c r="A139" s="2">
        <f t="shared" si="39"/>
        <v>39</v>
      </c>
      <c r="B139" s="3" t="s">
        <v>177</v>
      </c>
      <c r="E139" s="18"/>
      <c r="F139" s="18" t="s">
        <v>264</v>
      </c>
      <c r="G139" s="21">
        <v>700000</v>
      </c>
      <c r="H139" s="4">
        <v>0.45</v>
      </c>
      <c r="I139" s="12">
        <f t="shared" si="35"/>
        <v>315000</v>
      </c>
      <c r="J139" s="18"/>
      <c r="M139" s="51">
        <f t="shared" si="40"/>
        <v>0</v>
      </c>
      <c r="Q139" s="52">
        <f t="shared" si="41"/>
        <v>0</v>
      </c>
      <c r="U139" s="52">
        <f t="shared" si="42"/>
        <v>0</v>
      </c>
      <c r="Y139" s="52">
        <f t="shared" si="43"/>
        <v>0</v>
      </c>
      <c r="AB139" s="52">
        <f t="shared" si="44"/>
        <v>0</v>
      </c>
      <c r="AC139" s="39">
        <f t="shared" si="45"/>
        <v>700000</v>
      </c>
      <c r="AD139" s="56">
        <f t="shared" si="46"/>
        <v>315000</v>
      </c>
    </row>
    <row r="140" spans="1:30" s="3" customFormat="1" ht="15.6" x14ac:dyDescent="0.3">
      <c r="A140" s="2">
        <f t="shared" si="39"/>
        <v>40</v>
      </c>
      <c r="B140" s="3" t="s">
        <v>178</v>
      </c>
      <c r="E140" s="18"/>
      <c r="F140" s="18" t="s">
        <v>264</v>
      </c>
      <c r="G140" s="21">
        <v>1800000</v>
      </c>
      <c r="H140" s="4">
        <v>0.25</v>
      </c>
      <c r="I140" s="12">
        <f t="shared" si="35"/>
        <v>450000</v>
      </c>
      <c r="J140" s="18"/>
      <c r="M140" s="51">
        <f t="shared" si="40"/>
        <v>0</v>
      </c>
      <c r="Q140" s="52">
        <f t="shared" si="41"/>
        <v>0</v>
      </c>
      <c r="U140" s="52">
        <f t="shared" si="42"/>
        <v>0</v>
      </c>
      <c r="Y140" s="52">
        <f t="shared" si="43"/>
        <v>0</v>
      </c>
      <c r="AB140" s="52">
        <f t="shared" si="44"/>
        <v>0</v>
      </c>
      <c r="AC140" s="39">
        <f t="shared" si="45"/>
        <v>1800000</v>
      </c>
      <c r="AD140" s="56">
        <f t="shared" si="46"/>
        <v>450000</v>
      </c>
    </row>
    <row r="141" spans="1:30" s="3" customFormat="1" ht="15.6" x14ac:dyDescent="0.3">
      <c r="A141" s="2">
        <f t="shared" si="39"/>
        <v>41</v>
      </c>
      <c r="B141" s="3" t="s">
        <v>179</v>
      </c>
      <c r="E141" s="18"/>
      <c r="F141" s="18" t="s">
        <v>265</v>
      </c>
      <c r="G141" s="21">
        <v>500000</v>
      </c>
      <c r="H141" s="4">
        <v>0.15</v>
      </c>
      <c r="I141" s="12">
        <f t="shared" si="35"/>
        <v>75000</v>
      </c>
      <c r="J141" s="18"/>
      <c r="M141" s="51">
        <f t="shared" si="40"/>
        <v>0</v>
      </c>
      <c r="Q141" s="52">
        <f t="shared" si="41"/>
        <v>0</v>
      </c>
      <c r="U141" s="52">
        <f t="shared" si="42"/>
        <v>0</v>
      </c>
      <c r="Y141" s="52">
        <f t="shared" si="43"/>
        <v>0</v>
      </c>
      <c r="AB141" s="52">
        <f t="shared" si="44"/>
        <v>0</v>
      </c>
      <c r="AC141" s="39">
        <f t="shared" si="45"/>
        <v>500000</v>
      </c>
      <c r="AD141" s="56">
        <f t="shared" si="46"/>
        <v>75000</v>
      </c>
    </row>
    <row r="142" spans="1:30" s="3" customFormat="1" ht="15.6" x14ac:dyDescent="0.3">
      <c r="A142" s="2">
        <f t="shared" si="39"/>
        <v>42</v>
      </c>
      <c r="B142" s="3" t="s">
        <v>180</v>
      </c>
      <c r="E142" s="18"/>
      <c r="F142" s="18" t="s">
        <v>265</v>
      </c>
      <c r="G142" s="21">
        <v>850000</v>
      </c>
      <c r="H142" s="4">
        <v>0.15</v>
      </c>
      <c r="I142" s="12">
        <f t="shared" si="35"/>
        <v>127500</v>
      </c>
      <c r="J142" s="18"/>
      <c r="M142" s="51">
        <f t="shared" si="40"/>
        <v>0</v>
      </c>
      <c r="Q142" s="52">
        <f t="shared" si="41"/>
        <v>0</v>
      </c>
      <c r="U142" s="52">
        <f t="shared" si="42"/>
        <v>0</v>
      </c>
      <c r="Y142" s="52">
        <f t="shared" si="43"/>
        <v>0</v>
      </c>
      <c r="AB142" s="52">
        <f t="shared" si="44"/>
        <v>0</v>
      </c>
      <c r="AC142" s="39">
        <f t="shared" si="45"/>
        <v>850000</v>
      </c>
      <c r="AD142" s="56">
        <f t="shared" si="46"/>
        <v>127500</v>
      </c>
    </row>
    <row r="143" spans="1:30" s="3" customFormat="1" ht="15.6" x14ac:dyDescent="0.3">
      <c r="A143" s="2">
        <f t="shared" si="39"/>
        <v>43</v>
      </c>
      <c r="B143" s="3" t="s">
        <v>181</v>
      </c>
      <c r="E143" s="18"/>
      <c r="F143" s="18" t="s">
        <v>265</v>
      </c>
      <c r="G143" s="21">
        <v>1200000</v>
      </c>
      <c r="H143" s="4">
        <v>0.12</v>
      </c>
      <c r="I143" s="12">
        <f t="shared" si="35"/>
        <v>144000</v>
      </c>
      <c r="J143" s="18"/>
      <c r="M143" s="51">
        <f t="shared" si="40"/>
        <v>0</v>
      </c>
      <c r="Q143" s="52">
        <f t="shared" si="41"/>
        <v>0</v>
      </c>
      <c r="U143" s="52">
        <f t="shared" si="42"/>
        <v>0</v>
      </c>
      <c r="Y143" s="52">
        <f t="shared" si="43"/>
        <v>0</v>
      </c>
      <c r="AB143" s="52">
        <f t="shared" si="44"/>
        <v>0</v>
      </c>
      <c r="AC143" s="39">
        <f t="shared" si="45"/>
        <v>1200000</v>
      </c>
      <c r="AD143" s="56">
        <f t="shared" si="46"/>
        <v>144000</v>
      </c>
    </row>
    <row r="144" spans="1:30" s="3" customFormat="1" ht="15.6" x14ac:dyDescent="0.3">
      <c r="A144" s="2">
        <f t="shared" si="39"/>
        <v>44</v>
      </c>
      <c r="B144" s="3" t="s">
        <v>182</v>
      </c>
      <c r="E144" s="18"/>
      <c r="F144" s="18" t="s">
        <v>268</v>
      </c>
      <c r="G144" s="21">
        <v>25000</v>
      </c>
      <c r="H144" s="4">
        <v>1.6</v>
      </c>
      <c r="I144" s="12">
        <f t="shared" si="35"/>
        <v>40000</v>
      </c>
      <c r="J144" s="18"/>
      <c r="M144" s="51">
        <f t="shared" si="40"/>
        <v>0</v>
      </c>
      <c r="Q144" s="52">
        <f t="shared" si="41"/>
        <v>0</v>
      </c>
      <c r="U144" s="52">
        <f t="shared" si="42"/>
        <v>0</v>
      </c>
      <c r="Y144" s="52">
        <f t="shared" si="43"/>
        <v>0</v>
      </c>
      <c r="AB144" s="52">
        <f t="shared" si="44"/>
        <v>0</v>
      </c>
      <c r="AC144" s="39">
        <f t="shared" si="45"/>
        <v>25000</v>
      </c>
      <c r="AD144" s="56">
        <f t="shared" si="46"/>
        <v>40000</v>
      </c>
    </row>
    <row r="145" spans="1:30" s="3" customFormat="1" ht="15.6" x14ac:dyDescent="0.3">
      <c r="A145" s="2">
        <f t="shared" si="39"/>
        <v>45</v>
      </c>
      <c r="B145" s="3" t="s">
        <v>183</v>
      </c>
      <c r="E145" s="18"/>
      <c r="F145" s="18" t="s">
        <v>268</v>
      </c>
      <c r="G145" s="21">
        <v>25000</v>
      </c>
      <c r="H145" s="4">
        <v>1.6</v>
      </c>
      <c r="I145" s="12">
        <f t="shared" si="35"/>
        <v>40000</v>
      </c>
      <c r="J145" s="18"/>
      <c r="M145" s="51">
        <f t="shared" si="40"/>
        <v>0</v>
      </c>
      <c r="Q145" s="52">
        <f t="shared" si="41"/>
        <v>0</v>
      </c>
      <c r="U145" s="52">
        <f t="shared" si="42"/>
        <v>0</v>
      </c>
      <c r="Y145" s="52">
        <f t="shared" si="43"/>
        <v>0</v>
      </c>
      <c r="AB145" s="52">
        <f t="shared" si="44"/>
        <v>0</v>
      </c>
      <c r="AC145" s="39">
        <f t="shared" si="45"/>
        <v>25000</v>
      </c>
      <c r="AD145" s="56">
        <f t="shared" si="46"/>
        <v>40000</v>
      </c>
    </row>
    <row r="146" spans="1:30" s="3" customFormat="1" ht="15.6" x14ac:dyDescent="0.3">
      <c r="A146" s="2">
        <f t="shared" si="39"/>
        <v>46</v>
      </c>
      <c r="B146" s="3" t="s">
        <v>184</v>
      </c>
      <c r="E146" s="18"/>
      <c r="F146" s="18" t="s">
        <v>263</v>
      </c>
      <c r="G146" s="21">
        <v>25000</v>
      </c>
      <c r="H146" s="4">
        <v>0.45</v>
      </c>
      <c r="I146" s="12">
        <f t="shared" si="35"/>
        <v>11250</v>
      </c>
      <c r="J146" s="18"/>
      <c r="M146" s="51">
        <f t="shared" si="40"/>
        <v>0</v>
      </c>
      <c r="Q146" s="52">
        <f t="shared" si="41"/>
        <v>0</v>
      </c>
      <c r="U146" s="52">
        <f t="shared" si="42"/>
        <v>0</v>
      </c>
      <c r="Y146" s="52">
        <f t="shared" si="43"/>
        <v>0</v>
      </c>
      <c r="AB146" s="52">
        <f t="shared" si="44"/>
        <v>0</v>
      </c>
      <c r="AC146" s="39">
        <f t="shared" si="45"/>
        <v>25000</v>
      </c>
      <c r="AD146" s="56">
        <f t="shared" si="46"/>
        <v>11250</v>
      </c>
    </row>
    <row r="147" spans="1:30" s="3" customFormat="1" ht="15.6" x14ac:dyDescent="0.3">
      <c r="A147" s="2">
        <f t="shared" si="39"/>
        <v>47</v>
      </c>
      <c r="B147" s="3" t="s">
        <v>185</v>
      </c>
      <c r="E147" s="18"/>
      <c r="F147" s="18" t="s">
        <v>263</v>
      </c>
      <c r="G147" s="21">
        <v>50000</v>
      </c>
      <c r="H147" s="4">
        <v>0.45</v>
      </c>
      <c r="I147" s="12">
        <f t="shared" si="35"/>
        <v>22500</v>
      </c>
      <c r="J147" s="18"/>
      <c r="M147" s="51">
        <f t="shared" si="40"/>
        <v>0</v>
      </c>
      <c r="Q147" s="52">
        <f t="shared" si="41"/>
        <v>0</v>
      </c>
      <c r="U147" s="52">
        <f t="shared" si="42"/>
        <v>0</v>
      </c>
      <c r="Y147" s="52">
        <f t="shared" si="43"/>
        <v>0</v>
      </c>
      <c r="AB147" s="52">
        <f t="shared" si="44"/>
        <v>0</v>
      </c>
      <c r="AC147" s="39">
        <f t="shared" si="45"/>
        <v>50000</v>
      </c>
      <c r="AD147" s="56">
        <f t="shared" si="46"/>
        <v>22500</v>
      </c>
    </row>
    <row r="148" spans="1:30" s="3" customFormat="1" ht="15.6" x14ac:dyDescent="0.3">
      <c r="A148" s="2">
        <f t="shared" si="39"/>
        <v>48</v>
      </c>
      <c r="B148" s="3" t="s">
        <v>186</v>
      </c>
      <c r="E148" s="18"/>
      <c r="F148" s="18" t="s">
        <v>263</v>
      </c>
      <c r="G148" s="21">
        <v>50000</v>
      </c>
      <c r="H148" s="4">
        <v>1.2</v>
      </c>
      <c r="I148" s="12">
        <f t="shared" si="35"/>
        <v>60000</v>
      </c>
      <c r="J148" s="18"/>
      <c r="M148" s="51">
        <f t="shared" si="40"/>
        <v>0</v>
      </c>
      <c r="Q148" s="52">
        <f t="shared" si="41"/>
        <v>0</v>
      </c>
      <c r="U148" s="52">
        <f t="shared" si="42"/>
        <v>0</v>
      </c>
      <c r="Y148" s="52">
        <f t="shared" si="43"/>
        <v>0</v>
      </c>
      <c r="AB148" s="52">
        <f t="shared" si="44"/>
        <v>0</v>
      </c>
      <c r="AC148" s="39">
        <f t="shared" si="45"/>
        <v>50000</v>
      </c>
      <c r="AD148" s="56">
        <f t="shared" si="46"/>
        <v>60000</v>
      </c>
    </row>
    <row r="149" spans="1:30" s="3" customFormat="1" ht="15.6" x14ac:dyDescent="0.3">
      <c r="A149" s="2">
        <f t="shared" si="39"/>
        <v>49</v>
      </c>
      <c r="B149" s="3" t="s">
        <v>187</v>
      </c>
      <c r="E149" s="18"/>
      <c r="F149" s="18" t="s">
        <v>263</v>
      </c>
      <c r="G149" s="21">
        <v>12000</v>
      </c>
      <c r="H149" s="4">
        <v>1.6</v>
      </c>
      <c r="I149" s="12">
        <f t="shared" si="35"/>
        <v>19200</v>
      </c>
      <c r="J149" s="18"/>
      <c r="M149" s="51">
        <f t="shared" si="40"/>
        <v>0</v>
      </c>
      <c r="Q149" s="52">
        <f t="shared" si="41"/>
        <v>0</v>
      </c>
      <c r="U149" s="52">
        <f t="shared" si="42"/>
        <v>0</v>
      </c>
      <c r="Y149" s="52">
        <f t="shared" si="43"/>
        <v>0</v>
      </c>
      <c r="AB149" s="52">
        <f t="shared" si="44"/>
        <v>0</v>
      </c>
      <c r="AC149" s="39">
        <f t="shared" si="45"/>
        <v>12000</v>
      </c>
      <c r="AD149" s="56">
        <f t="shared" si="46"/>
        <v>19200</v>
      </c>
    </row>
    <row r="150" spans="1:30" s="3" customFormat="1" ht="15.6" x14ac:dyDescent="0.3">
      <c r="A150" s="2">
        <f t="shared" si="39"/>
        <v>50</v>
      </c>
      <c r="B150" s="3" t="s">
        <v>188</v>
      </c>
      <c r="E150" s="18"/>
      <c r="F150" s="18" t="s">
        <v>265</v>
      </c>
      <c r="G150" s="21">
        <v>85000</v>
      </c>
      <c r="H150" s="4">
        <v>1.6</v>
      </c>
      <c r="I150" s="12">
        <f t="shared" si="35"/>
        <v>136000</v>
      </c>
      <c r="J150" s="18"/>
      <c r="M150" s="51">
        <f t="shared" si="40"/>
        <v>0</v>
      </c>
      <c r="Q150" s="52">
        <f t="shared" si="41"/>
        <v>0</v>
      </c>
      <c r="U150" s="52">
        <f t="shared" si="42"/>
        <v>0</v>
      </c>
      <c r="Y150" s="52">
        <f t="shared" si="43"/>
        <v>0</v>
      </c>
      <c r="AB150" s="52">
        <f t="shared" si="44"/>
        <v>0</v>
      </c>
      <c r="AC150" s="39">
        <f t="shared" si="45"/>
        <v>85000</v>
      </c>
      <c r="AD150" s="56">
        <f t="shared" si="46"/>
        <v>136000</v>
      </c>
    </row>
    <row r="151" spans="1:30" s="3" customFormat="1" ht="15.6" x14ac:dyDescent="0.3">
      <c r="A151" s="2">
        <f t="shared" si="39"/>
        <v>51</v>
      </c>
      <c r="B151" s="3" t="s">
        <v>189</v>
      </c>
      <c r="E151" s="18"/>
      <c r="F151" s="18" t="s">
        <v>265</v>
      </c>
      <c r="G151" s="21">
        <v>85000</v>
      </c>
      <c r="H151" s="4">
        <v>1.2</v>
      </c>
      <c r="I151" s="12">
        <f t="shared" si="35"/>
        <v>102000</v>
      </c>
      <c r="J151" s="18"/>
      <c r="M151" s="51">
        <f t="shared" si="40"/>
        <v>0</v>
      </c>
      <c r="Q151" s="52">
        <f t="shared" si="41"/>
        <v>0</v>
      </c>
      <c r="U151" s="52">
        <f t="shared" si="42"/>
        <v>0</v>
      </c>
      <c r="Y151" s="52">
        <f t="shared" si="43"/>
        <v>0</v>
      </c>
      <c r="AB151" s="52">
        <f t="shared" si="44"/>
        <v>0</v>
      </c>
      <c r="AC151" s="39">
        <f t="shared" si="45"/>
        <v>85000</v>
      </c>
      <c r="AD151" s="56">
        <f t="shared" si="46"/>
        <v>102000</v>
      </c>
    </row>
    <row r="152" spans="1:30" s="3" customFormat="1" ht="15.6" x14ac:dyDescent="0.3">
      <c r="A152" s="2">
        <f t="shared" si="39"/>
        <v>52</v>
      </c>
      <c r="B152" s="3" t="s">
        <v>190</v>
      </c>
      <c r="E152" s="18"/>
      <c r="F152" s="18" t="s">
        <v>265</v>
      </c>
      <c r="G152" s="21">
        <v>16000</v>
      </c>
      <c r="H152" s="4">
        <v>1.6</v>
      </c>
      <c r="I152" s="12">
        <f t="shared" si="35"/>
        <v>25600</v>
      </c>
      <c r="J152" s="18"/>
      <c r="M152" s="51">
        <f t="shared" si="40"/>
        <v>0</v>
      </c>
      <c r="Q152" s="52">
        <f t="shared" si="41"/>
        <v>0</v>
      </c>
      <c r="U152" s="52">
        <f t="shared" si="42"/>
        <v>0</v>
      </c>
      <c r="Y152" s="52">
        <f t="shared" si="43"/>
        <v>0</v>
      </c>
      <c r="AB152" s="52">
        <f t="shared" si="44"/>
        <v>0</v>
      </c>
      <c r="AC152" s="39">
        <f t="shared" si="45"/>
        <v>16000</v>
      </c>
      <c r="AD152" s="56">
        <f t="shared" si="46"/>
        <v>25600</v>
      </c>
    </row>
    <row r="153" spans="1:30" s="3" customFormat="1" ht="15.6" x14ac:dyDescent="0.3">
      <c r="A153" s="2">
        <f t="shared" si="39"/>
        <v>53</v>
      </c>
      <c r="B153" s="3" t="s">
        <v>191</v>
      </c>
      <c r="E153" s="18"/>
      <c r="F153" s="18" t="s">
        <v>265</v>
      </c>
      <c r="G153" s="21">
        <v>1200</v>
      </c>
      <c r="H153" s="4">
        <v>2.2000000000000002</v>
      </c>
      <c r="I153" s="12">
        <f t="shared" si="35"/>
        <v>2640</v>
      </c>
      <c r="J153" s="18"/>
      <c r="M153" s="51">
        <f t="shared" si="40"/>
        <v>0</v>
      </c>
      <c r="Q153" s="52">
        <f t="shared" si="41"/>
        <v>0</v>
      </c>
      <c r="U153" s="52">
        <f t="shared" si="42"/>
        <v>0</v>
      </c>
      <c r="Y153" s="52">
        <f t="shared" si="43"/>
        <v>0</v>
      </c>
      <c r="AB153" s="52">
        <f t="shared" si="44"/>
        <v>0</v>
      </c>
      <c r="AC153" s="39">
        <f t="shared" si="45"/>
        <v>1200</v>
      </c>
      <c r="AD153" s="56">
        <f t="shared" si="46"/>
        <v>2640</v>
      </c>
    </row>
    <row r="154" spans="1:30" s="3" customFormat="1" ht="15.6" x14ac:dyDescent="0.3">
      <c r="A154" s="2">
        <f t="shared" si="39"/>
        <v>54</v>
      </c>
      <c r="B154" s="3" t="s">
        <v>192</v>
      </c>
      <c r="E154" s="18"/>
      <c r="F154" s="18" t="s">
        <v>265</v>
      </c>
      <c r="G154" s="21">
        <v>1200</v>
      </c>
      <c r="H154" s="4">
        <v>1.2</v>
      </c>
      <c r="I154" s="12">
        <f t="shared" si="35"/>
        <v>1440</v>
      </c>
      <c r="J154" s="18"/>
      <c r="M154" s="51">
        <f t="shared" si="40"/>
        <v>0</v>
      </c>
      <c r="Q154" s="52">
        <f t="shared" si="41"/>
        <v>0</v>
      </c>
      <c r="U154" s="52">
        <f t="shared" si="42"/>
        <v>0</v>
      </c>
      <c r="Y154" s="52">
        <f t="shared" si="43"/>
        <v>0</v>
      </c>
      <c r="AB154" s="52">
        <f t="shared" si="44"/>
        <v>0</v>
      </c>
      <c r="AC154" s="39">
        <f t="shared" si="45"/>
        <v>1200</v>
      </c>
      <c r="AD154" s="56">
        <f t="shared" si="46"/>
        <v>1440</v>
      </c>
    </row>
    <row r="155" spans="1:30" s="3" customFormat="1" ht="15.6" x14ac:dyDescent="0.3">
      <c r="A155" s="2">
        <f t="shared" si="39"/>
        <v>55</v>
      </c>
      <c r="B155" s="3" t="s">
        <v>193</v>
      </c>
      <c r="E155" s="18"/>
      <c r="F155" s="18" t="s">
        <v>263</v>
      </c>
      <c r="G155" s="21">
        <v>95000</v>
      </c>
      <c r="H155" s="4">
        <v>0.6</v>
      </c>
      <c r="I155" s="12">
        <f t="shared" si="35"/>
        <v>57000</v>
      </c>
      <c r="J155" s="18"/>
      <c r="M155" s="51">
        <f t="shared" si="40"/>
        <v>0</v>
      </c>
      <c r="Q155" s="52">
        <f t="shared" si="41"/>
        <v>0</v>
      </c>
      <c r="U155" s="52">
        <f t="shared" si="42"/>
        <v>0</v>
      </c>
      <c r="Y155" s="52">
        <f t="shared" si="43"/>
        <v>0</v>
      </c>
      <c r="AB155" s="52">
        <f t="shared" si="44"/>
        <v>0</v>
      </c>
      <c r="AC155" s="39">
        <f t="shared" si="45"/>
        <v>95000</v>
      </c>
      <c r="AD155" s="56">
        <f t="shared" si="46"/>
        <v>57000</v>
      </c>
    </row>
    <row r="156" spans="1:30" s="3" customFormat="1" ht="15.6" x14ac:dyDescent="0.3">
      <c r="A156" s="2">
        <f t="shared" si="39"/>
        <v>56</v>
      </c>
      <c r="B156" s="3" t="s">
        <v>194</v>
      </c>
      <c r="E156" s="18"/>
      <c r="F156" s="18" t="s">
        <v>263</v>
      </c>
      <c r="G156" s="21">
        <v>12000</v>
      </c>
      <c r="H156" s="4">
        <v>5</v>
      </c>
      <c r="I156" s="12">
        <f t="shared" si="35"/>
        <v>60000</v>
      </c>
      <c r="J156" s="18"/>
      <c r="M156" s="51">
        <f t="shared" si="40"/>
        <v>0</v>
      </c>
      <c r="Q156" s="52">
        <f t="shared" si="41"/>
        <v>0</v>
      </c>
      <c r="U156" s="52">
        <f t="shared" si="42"/>
        <v>0</v>
      </c>
      <c r="Y156" s="52">
        <f t="shared" si="43"/>
        <v>0</v>
      </c>
      <c r="AB156" s="52">
        <f t="shared" si="44"/>
        <v>0</v>
      </c>
      <c r="AC156" s="39">
        <f t="shared" si="45"/>
        <v>12000</v>
      </c>
      <c r="AD156" s="56">
        <f t="shared" si="46"/>
        <v>60000</v>
      </c>
    </row>
    <row r="157" spans="1:30" s="3" customFormat="1" ht="15.6" x14ac:dyDescent="0.3">
      <c r="A157" s="2">
        <f t="shared" si="39"/>
        <v>57</v>
      </c>
      <c r="B157" s="3" t="s">
        <v>195</v>
      </c>
      <c r="E157" s="18"/>
      <c r="F157" s="18" t="s">
        <v>135</v>
      </c>
      <c r="G157" s="21">
        <v>200000</v>
      </c>
      <c r="H157" s="4">
        <v>0.11</v>
      </c>
      <c r="I157" s="12">
        <f t="shared" si="35"/>
        <v>22000</v>
      </c>
      <c r="J157" s="18"/>
      <c r="M157" s="51">
        <f t="shared" si="40"/>
        <v>0</v>
      </c>
      <c r="Q157" s="52">
        <f t="shared" si="41"/>
        <v>0</v>
      </c>
      <c r="U157" s="52">
        <f t="shared" si="42"/>
        <v>0</v>
      </c>
      <c r="Y157" s="52">
        <f t="shared" si="43"/>
        <v>0</v>
      </c>
      <c r="AB157" s="52">
        <f t="shared" si="44"/>
        <v>0</v>
      </c>
      <c r="AC157" s="39">
        <f t="shared" si="45"/>
        <v>200000</v>
      </c>
      <c r="AD157" s="56">
        <f t="shared" si="46"/>
        <v>22000</v>
      </c>
    </row>
    <row r="158" spans="1:30" s="3" customFormat="1" ht="15.6" x14ac:dyDescent="0.3">
      <c r="A158" s="2">
        <f t="shared" si="39"/>
        <v>58</v>
      </c>
      <c r="B158" s="3" t="s">
        <v>196</v>
      </c>
      <c r="E158" s="18"/>
      <c r="F158" s="18" t="s">
        <v>266</v>
      </c>
      <c r="G158" s="21">
        <v>15000</v>
      </c>
      <c r="H158" s="4">
        <v>0.6</v>
      </c>
      <c r="I158" s="12">
        <f t="shared" si="35"/>
        <v>9000</v>
      </c>
      <c r="J158" s="18"/>
      <c r="M158" s="51">
        <f t="shared" si="40"/>
        <v>0</v>
      </c>
      <c r="Q158" s="52">
        <f t="shared" si="41"/>
        <v>0</v>
      </c>
      <c r="U158" s="52">
        <f t="shared" si="42"/>
        <v>0</v>
      </c>
      <c r="Y158" s="52">
        <f t="shared" si="43"/>
        <v>0</v>
      </c>
      <c r="AB158" s="52">
        <f t="shared" si="44"/>
        <v>0</v>
      </c>
      <c r="AC158" s="39">
        <f t="shared" si="45"/>
        <v>15000</v>
      </c>
      <c r="AD158" s="56">
        <f t="shared" si="46"/>
        <v>9000</v>
      </c>
    </row>
    <row r="159" spans="1:30" s="3" customFormat="1" ht="15.6" x14ac:dyDescent="0.3">
      <c r="A159" s="2">
        <f t="shared" si="39"/>
        <v>59</v>
      </c>
      <c r="B159" s="3" t="s">
        <v>197</v>
      </c>
      <c r="E159" s="18"/>
      <c r="F159" s="18" t="s">
        <v>266</v>
      </c>
      <c r="G159" s="21">
        <v>10000</v>
      </c>
      <c r="H159" s="4">
        <v>0.5</v>
      </c>
      <c r="I159" s="12">
        <f t="shared" si="35"/>
        <v>5000</v>
      </c>
      <c r="J159" s="18"/>
      <c r="M159" s="51">
        <f t="shared" si="40"/>
        <v>0</v>
      </c>
      <c r="Q159" s="52">
        <f t="shared" si="41"/>
        <v>0</v>
      </c>
      <c r="U159" s="52">
        <f t="shared" si="42"/>
        <v>0</v>
      </c>
      <c r="Y159" s="52">
        <f t="shared" si="43"/>
        <v>0</v>
      </c>
      <c r="AB159" s="52">
        <f t="shared" si="44"/>
        <v>0</v>
      </c>
      <c r="AC159" s="39">
        <f t="shared" si="45"/>
        <v>10000</v>
      </c>
      <c r="AD159" s="56">
        <f t="shared" si="46"/>
        <v>5000</v>
      </c>
    </row>
    <row r="160" spans="1:30" s="3" customFormat="1" ht="15.6" x14ac:dyDescent="0.3">
      <c r="A160" s="2">
        <f t="shared" si="39"/>
        <v>60</v>
      </c>
      <c r="B160" s="3" t="s">
        <v>198</v>
      </c>
      <c r="E160" s="18"/>
      <c r="F160" s="18" t="s">
        <v>266</v>
      </c>
      <c r="G160" s="21">
        <v>15000</v>
      </c>
      <c r="H160" s="4">
        <v>1</v>
      </c>
      <c r="I160" s="12">
        <f t="shared" si="35"/>
        <v>15000</v>
      </c>
      <c r="J160" s="18"/>
      <c r="M160" s="51">
        <f t="shared" si="40"/>
        <v>0</v>
      </c>
      <c r="Q160" s="52">
        <f t="shared" si="41"/>
        <v>0</v>
      </c>
      <c r="U160" s="52">
        <f t="shared" si="42"/>
        <v>0</v>
      </c>
      <c r="Y160" s="52">
        <f t="shared" si="43"/>
        <v>0</v>
      </c>
      <c r="AB160" s="52">
        <f t="shared" si="44"/>
        <v>0</v>
      </c>
      <c r="AC160" s="39">
        <f t="shared" si="45"/>
        <v>15000</v>
      </c>
      <c r="AD160" s="56">
        <f t="shared" si="46"/>
        <v>15000</v>
      </c>
    </row>
    <row r="161" spans="1:30" s="3" customFormat="1" ht="15.6" x14ac:dyDescent="0.3">
      <c r="A161" s="2">
        <f t="shared" si="39"/>
        <v>61</v>
      </c>
      <c r="B161" s="3" t="s">
        <v>199</v>
      </c>
      <c r="E161" s="18"/>
      <c r="F161" s="18" t="s">
        <v>266</v>
      </c>
      <c r="G161" s="21">
        <v>20000</v>
      </c>
      <c r="H161" s="4">
        <v>1</v>
      </c>
      <c r="I161" s="12">
        <f t="shared" si="35"/>
        <v>20000</v>
      </c>
      <c r="J161" s="18"/>
      <c r="M161" s="51">
        <f t="shared" si="40"/>
        <v>0</v>
      </c>
      <c r="Q161" s="52">
        <f t="shared" si="41"/>
        <v>0</v>
      </c>
      <c r="U161" s="52">
        <f t="shared" si="42"/>
        <v>0</v>
      </c>
      <c r="Y161" s="52">
        <f t="shared" si="43"/>
        <v>0</v>
      </c>
      <c r="AB161" s="52">
        <f t="shared" si="44"/>
        <v>0</v>
      </c>
      <c r="AC161" s="39">
        <f t="shared" si="45"/>
        <v>20000</v>
      </c>
      <c r="AD161" s="56">
        <f t="shared" si="46"/>
        <v>20000</v>
      </c>
    </row>
    <row r="162" spans="1:30" s="3" customFormat="1" ht="15.6" x14ac:dyDescent="0.3">
      <c r="A162" s="2">
        <f t="shared" si="39"/>
        <v>62</v>
      </c>
      <c r="B162" s="3" t="s">
        <v>200</v>
      </c>
      <c r="E162" s="18"/>
      <c r="F162" s="18" t="s">
        <v>269</v>
      </c>
      <c r="G162" s="21">
        <v>28000</v>
      </c>
      <c r="H162" s="4">
        <v>0.25</v>
      </c>
      <c r="I162" s="12">
        <f t="shared" si="35"/>
        <v>7000</v>
      </c>
      <c r="J162" s="18"/>
      <c r="M162" s="51">
        <f t="shared" si="40"/>
        <v>0</v>
      </c>
      <c r="Q162" s="52">
        <f t="shared" si="41"/>
        <v>0</v>
      </c>
      <c r="U162" s="52">
        <f t="shared" si="42"/>
        <v>0</v>
      </c>
      <c r="Y162" s="52">
        <f t="shared" si="43"/>
        <v>0</v>
      </c>
      <c r="AB162" s="52">
        <f t="shared" si="44"/>
        <v>0</v>
      </c>
      <c r="AC162" s="39">
        <f t="shared" si="45"/>
        <v>28000</v>
      </c>
      <c r="AD162" s="56">
        <f t="shared" si="46"/>
        <v>7000</v>
      </c>
    </row>
    <row r="163" spans="1:30" s="3" customFormat="1" ht="15.6" x14ac:dyDescent="0.3">
      <c r="A163" s="2">
        <f t="shared" si="39"/>
        <v>63</v>
      </c>
      <c r="B163" s="3" t="s">
        <v>201</v>
      </c>
      <c r="E163" s="18"/>
      <c r="F163" s="18" t="s">
        <v>266</v>
      </c>
      <c r="G163" s="21">
        <v>35000</v>
      </c>
      <c r="H163" s="4">
        <v>2</v>
      </c>
      <c r="I163" s="12">
        <f t="shared" si="35"/>
        <v>70000</v>
      </c>
      <c r="J163" s="18"/>
      <c r="M163" s="51">
        <f t="shared" si="40"/>
        <v>0</v>
      </c>
      <c r="Q163" s="52">
        <f t="shared" si="41"/>
        <v>0</v>
      </c>
      <c r="U163" s="52">
        <f t="shared" si="42"/>
        <v>0</v>
      </c>
      <c r="Y163" s="52">
        <f t="shared" si="43"/>
        <v>0</v>
      </c>
      <c r="AB163" s="52">
        <f t="shared" si="44"/>
        <v>0</v>
      </c>
      <c r="AC163" s="39">
        <f t="shared" si="45"/>
        <v>35000</v>
      </c>
      <c r="AD163" s="56">
        <f t="shared" si="46"/>
        <v>70000</v>
      </c>
    </row>
    <row r="164" spans="1:30" s="3" customFormat="1" ht="15.6" x14ac:dyDescent="0.3">
      <c r="A164" s="2">
        <f t="shared" si="39"/>
        <v>64</v>
      </c>
      <c r="B164" s="3" t="s">
        <v>202</v>
      </c>
      <c r="E164" s="18"/>
      <c r="F164" s="18" t="s">
        <v>266</v>
      </c>
      <c r="G164" s="21">
        <v>35000</v>
      </c>
      <c r="H164" s="4">
        <v>2</v>
      </c>
      <c r="I164" s="12">
        <f t="shared" si="35"/>
        <v>70000</v>
      </c>
      <c r="J164" s="18"/>
      <c r="M164" s="51">
        <f t="shared" si="40"/>
        <v>0</v>
      </c>
      <c r="Q164" s="52">
        <f t="shared" si="41"/>
        <v>0</v>
      </c>
      <c r="U164" s="52">
        <f t="shared" si="42"/>
        <v>0</v>
      </c>
      <c r="Y164" s="52">
        <f t="shared" si="43"/>
        <v>0</v>
      </c>
      <c r="AB164" s="52">
        <f t="shared" si="44"/>
        <v>0</v>
      </c>
      <c r="AC164" s="39">
        <f t="shared" si="45"/>
        <v>35000</v>
      </c>
      <c r="AD164" s="56">
        <f t="shared" si="46"/>
        <v>70000</v>
      </c>
    </row>
    <row r="165" spans="1:30" s="3" customFormat="1" ht="15.6" x14ac:dyDescent="0.3">
      <c r="A165" s="2">
        <f t="shared" si="39"/>
        <v>65</v>
      </c>
      <c r="B165" s="3" t="s">
        <v>203</v>
      </c>
      <c r="E165" s="18"/>
      <c r="F165" s="18" t="s">
        <v>266</v>
      </c>
      <c r="G165" s="21">
        <v>30000</v>
      </c>
      <c r="H165" s="4">
        <v>1.5</v>
      </c>
      <c r="I165" s="12">
        <f t="shared" si="35"/>
        <v>45000</v>
      </c>
      <c r="J165" s="18"/>
      <c r="M165" s="51">
        <f t="shared" si="40"/>
        <v>0</v>
      </c>
      <c r="Q165" s="52">
        <f t="shared" si="41"/>
        <v>0</v>
      </c>
      <c r="U165" s="52">
        <f t="shared" si="42"/>
        <v>0</v>
      </c>
      <c r="Y165" s="52">
        <f t="shared" si="43"/>
        <v>0</v>
      </c>
      <c r="AB165" s="52">
        <f t="shared" si="44"/>
        <v>0</v>
      </c>
      <c r="AC165" s="39">
        <f t="shared" si="45"/>
        <v>30000</v>
      </c>
      <c r="AD165" s="56">
        <f t="shared" si="46"/>
        <v>45000</v>
      </c>
    </row>
    <row r="166" spans="1:30" s="3" customFormat="1" ht="15.6" x14ac:dyDescent="0.3">
      <c r="A166" s="2">
        <f t="shared" si="39"/>
        <v>66</v>
      </c>
      <c r="B166" s="3" t="s">
        <v>204</v>
      </c>
      <c r="E166" s="18"/>
      <c r="F166" s="18" t="s">
        <v>266</v>
      </c>
      <c r="G166" s="21">
        <v>7500</v>
      </c>
      <c r="H166" s="4">
        <v>1.2</v>
      </c>
      <c r="I166" s="12">
        <f t="shared" ref="I166:I224" si="47">H166*G166</f>
        <v>9000</v>
      </c>
      <c r="J166" s="18"/>
      <c r="M166" s="51">
        <f t="shared" si="40"/>
        <v>0</v>
      </c>
      <c r="Q166" s="52">
        <f t="shared" si="41"/>
        <v>0</v>
      </c>
      <c r="U166" s="52">
        <f t="shared" si="42"/>
        <v>0</v>
      </c>
      <c r="Y166" s="52">
        <f t="shared" si="43"/>
        <v>0</v>
      </c>
      <c r="AB166" s="52">
        <f t="shared" si="44"/>
        <v>0</v>
      </c>
      <c r="AC166" s="39">
        <f t="shared" si="45"/>
        <v>7500</v>
      </c>
      <c r="AD166" s="56">
        <f t="shared" si="46"/>
        <v>9000</v>
      </c>
    </row>
    <row r="167" spans="1:30" s="3" customFormat="1" ht="15.6" x14ac:dyDescent="0.3">
      <c r="A167" s="2">
        <f t="shared" si="39"/>
        <v>67</v>
      </c>
      <c r="B167" s="3" t="s">
        <v>205</v>
      </c>
      <c r="E167" s="18"/>
      <c r="F167" s="18" t="s">
        <v>270</v>
      </c>
      <c r="G167" s="21">
        <v>55000</v>
      </c>
      <c r="H167" s="4">
        <v>1</v>
      </c>
      <c r="I167" s="12">
        <f t="shared" si="47"/>
        <v>55000</v>
      </c>
      <c r="J167" s="18"/>
      <c r="M167" s="51">
        <f t="shared" si="40"/>
        <v>0</v>
      </c>
      <c r="Q167" s="52">
        <f t="shared" si="41"/>
        <v>0</v>
      </c>
      <c r="U167" s="52">
        <f t="shared" si="42"/>
        <v>0</v>
      </c>
      <c r="Y167" s="52">
        <f t="shared" si="43"/>
        <v>0</v>
      </c>
      <c r="AB167" s="52">
        <f t="shared" si="44"/>
        <v>0</v>
      </c>
      <c r="AC167" s="39">
        <f t="shared" si="45"/>
        <v>55000</v>
      </c>
      <c r="AD167" s="56">
        <f t="shared" si="46"/>
        <v>55000</v>
      </c>
    </row>
    <row r="168" spans="1:30" s="3" customFormat="1" ht="15.6" x14ac:dyDescent="0.3">
      <c r="A168" s="2">
        <f t="shared" ref="A168:A224" si="48">A167+1</f>
        <v>68</v>
      </c>
      <c r="B168" s="3" t="s">
        <v>206</v>
      </c>
      <c r="E168" s="18"/>
      <c r="F168" s="18" t="s">
        <v>263</v>
      </c>
      <c r="G168" s="21">
        <v>8200</v>
      </c>
      <c r="H168" s="4">
        <v>2.5</v>
      </c>
      <c r="I168" s="12">
        <f t="shared" si="47"/>
        <v>20500</v>
      </c>
      <c r="J168" s="18"/>
      <c r="M168" s="51">
        <f t="shared" si="40"/>
        <v>0</v>
      </c>
      <c r="Q168" s="52">
        <f t="shared" si="41"/>
        <v>0</v>
      </c>
      <c r="U168" s="52">
        <f t="shared" si="42"/>
        <v>0</v>
      </c>
      <c r="Y168" s="52">
        <f t="shared" si="43"/>
        <v>0</v>
      </c>
      <c r="AB168" s="52">
        <f t="shared" si="44"/>
        <v>0</v>
      </c>
      <c r="AC168" s="39">
        <f t="shared" si="45"/>
        <v>8200</v>
      </c>
      <c r="AD168" s="56">
        <f t="shared" si="46"/>
        <v>20500</v>
      </c>
    </row>
    <row r="169" spans="1:30" s="3" customFormat="1" ht="15.6" x14ac:dyDescent="0.3">
      <c r="A169" s="2">
        <f t="shared" si="48"/>
        <v>69</v>
      </c>
      <c r="B169" s="3" t="s">
        <v>207</v>
      </c>
      <c r="E169" s="18"/>
      <c r="F169" s="18" t="s">
        <v>263</v>
      </c>
      <c r="G169" s="21">
        <v>7200</v>
      </c>
      <c r="H169" s="4">
        <v>1.6</v>
      </c>
      <c r="I169" s="12">
        <f t="shared" si="47"/>
        <v>11520</v>
      </c>
      <c r="J169" s="18"/>
      <c r="M169" s="51">
        <f t="shared" si="40"/>
        <v>0</v>
      </c>
      <c r="Q169" s="52">
        <f t="shared" si="41"/>
        <v>0</v>
      </c>
      <c r="U169" s="52">
        <f t="shared" si="42"/>
        <v>0</v>
      </c>
      <c r="Y169" s="52">
        <f t="shared" si="43"/>
        <v>0</v>
      </c>
      <c r="AB169" s="52">
        <f t="shared" si="44"/>
        <v>0</v>
      </c>
      <c r="AC169" s="39">
        <f t="shared" si="45"/>
        <v>7200</v>
      </c>
      <c r="AD169" s="56">
        <f t="shared" si="46"/>
        <v>11520</v>
      </c>
    </row>
    <row r="170" spans="1:30" s="3" customFormat="1" ht="15.6" x14ac:dyDescent="0.3">
      <c r="A170" s="2">
        <f t="shared" si="48"/>
        <v>70</v>
      </c>
      <c r="B170" s="3" t="s">
        <v>208</v>
      </c>
      <c r="E170" s="18"/>
      <c r="F170" s="18" t="s">
        <v>264</v>
      </c>
      <c r="G170" s="21">
        <v>500000</v>
      </c>
      <c r="H170" s="4">
        <v>0.15</v>
      </c>
      <c r="I170" s="12">
        <f t="shared" si="47"/>
        <v>75000</v>
      </c>
      <c r="J170" s="18"/>
      <c r="M170" s="51">
        <f t="shared" ref="M170:M175" si="49">SUM(K170:L170)</f>
        <v>0</v>
      </c>
      <c r="Q170" s="52">
        <f t="shared" ref="Q170:Q175" si="50">SUM(N170:P170)</f>
        <v>0</v>
      </c>
      <c r="U170" s="52">
        <f t="shared" ref="U170:U175" si="51">SUM(R170:T170)</f>
        <v>0</v>
      </c>
      <c r="Y170" s="52">
        <f t="shared" ref="Y170:Y175" si="52">SUM(V170:X170)</f>
        <v>0</v>
      </c>
      <c r="AB170" s="52">
        <f t="shared" ref="AB170:AB175" si="53">SUM(Z170:AA170)</f>
        <v>0</v>
      </c>
      <c r="AC170" s="39">
        <f t="shared" ref="AC170:AC175" si="54">G170-K170-L170-N170-O170-P170-R170-S170-T170-V170-W170-X170-Z170-AA170</f>
        <v>500000</v>
      </c>
      <c r="AD170" s="56">
        <f t="shared" ref="AD170:AD175" si="55">AC170*H170</f>
        <v>75000</v>
      </c>
    </row>
    <row r="171" spans="1:30" s="3" customFormat="1" ht="15.6" x14ac:dyDescent="0.3">
      <c r="A171" s="2">
        <f t="shared" si="48"/>
        <v>71</v>
      </c>
      <c r="B171" s="3" t="s">
        <v>209</v>
      </c>
      <c r="E171" s="18"/>
      <c r="F171" s="18" t="s">
        <v>263</v>
      </c>
      <c r="G171" s="21">
        <v>22000</v>
      </c>
      <c r="H171" s="4">
        <v>6</v>
      </c>
      <c r="I171" s="12">
        <f t="shared" si="47"/>
        <v>132000</v>
      </c>
      <c r="J171" s="18"/>
      <c r="M171" s="51">
        <f t="shared" si="49"/>
        <v>0</v>
      </c>
      <c r="Q171" s="52">
        <f t="shared" si="50"/>
        <v>0</v>
      </c>
      <c r="U171" s="52">
        <f t="shared" si="51"/>
        <v>0</v>
      </c>
      <c r="Y171" s="52">
        <f t="shared" si="52"/>
        <v>0</v>
      </c>
      <c r="AB171" s="52">
        <f t="shared" si="53"/>
        <v>0</v>
      </c>
      <c r="AC171" s="39">
        <f t="shared" si="54"/>
        <v>22000</v>
      </c>
      <c r="AD171" s="56">
        <f t="shared" si="55"/>
        <v>132000</v>
      </c>
    </row>
    <row r="172" spans="1:30" s="3" customFormat="1" ht="15.6" x14ac:dyDescent="0.3">
      <c r="A172" s="2">
        <f t="shared" si="48"/>
        <v>72</v>
      </c>
      <c r="B172" s="3" t="s">
        <v>210</v>
      </c>
      <c r="E172" s="18"/>
      <c r="F172" s="18" t="s">
        <v>264</v>
      </c>
      <c r="G172" s="21">
        <v>1500000</v>
      </c>
      <c r="H172" s="4">
        <v>0.35</v>
      </c>
      <c r="I172" s="12">
        <f t="shared" si="47"/>
        <v>525000</v>
      </c>
      <c r="J172" s="18"/>
      <c r="M172" s="51">
        <f t="shared" si="49"/>
        <v>0</v>
      </c>
      <c r="Q172" s="52">
        <f t="shared" si="50"/>
        <v>0</v>
      </c>
      <c r="U172" s="52">
        <f t="shared" si="51"/>
        <v>0</v>
      </c>
      <c r="Y172" s="52">
        <f t="shared" si="52"/>
        <v>0</v>
      </c>
      <c r="AB172" s="52">
        <f t="shared" si="53"/>
        <v>0</v>
      </c>
      <c r="AC172" s="39">
        <f t="shared" si="54"/>
        <v>1500000</v>
      </c>
      <c r="AD172" s="56">
        <f t="shared" si="55"/>
        <v>525000</v>
      </c>
    </row>
    <row r="173" spans="1:30" s="3" customFormat="1" ht="15.6" x14ac:dyDescent="0.3">
      <c r="A173" s="2">
        <f t="shared" si="48"/>
        <v>73</v>
      </c>
      <c r="B173" s="3" t="s">
        <v>211</v>
      </c>
      <c r="E173" s="18"/>
      <c r="F173" s="18" t="s">
        <v>268</v>
      </c>
      <c r="G173" s="21">
        <v>12000</v>
      </c>
      <c r="H173" s="4">
        <v>1.8</v>
      </c>
      <c r="I173" s="12">
        <f t="shared" si="47"/>
        <v>21600</v>
      </c>
      <c r="J173" s="18"/>
      <c r="M173" s="51">
        <f t="shared" si="49"/>
        <v>0</v>
      </c>
      <c r="Q173" s="52">
        <f t="shared" si="50"/>
        <v>0</v>
      </c>
      <c r="U173" s="52">
        <f t="shared" si="51"/>
        <v>0</v>
      </c>
      <c r="Y173" s="52">
        <f t="shared" si="52"/>
        <v>0</v>
      </c>
      <c r="AB173" s="52">
        <f t="shared" si="53"/>
        <v>0</v>
      </c>
      <c r="AC173" s="39">
        <f t="shared" si="54"/>
        <v>12000</v>
      </c>
      <c r="AD173" s="56">
        <f t="shared" si="55"/>
        <v>21600</v>
      </c>
    </row>
    <row r="174" spans="1:30" s="3" customFormat="1" ht="15.6" x14ac:dyDescent="0.3">
      <c r="A174" s="2">
        <f t="shared" si="48"/>
        <v>74</v>
      </c>
      <c r="B174" s="3" t="s">
        <v>212</v>
      </c>
      <c r="E174" s="18"/>
      <c r="F174" s="18" t="s">
        <v>265</v>
      </c>
      <c r="G174" s="21">
        <v>750000</v>
      </c>
      <c r="H174" s="4">
        <v>0.15</v>
      </c>
      <c r="I174" s="12">
        <f t="shared" si="47"/>
        <v>112500</v>
      </c>
      <c r="J174" s="18"/>
      <c r="M174" s="51">
        <f t="shared" si="49"/>
        <v>0</v>
      </c>
      <c r="Q174" s="52">
        <f t="shared" si="50"/>
        <v>0</v>
      </c>
      <c r="U174" s="52">
        <f t="shared" si="51"/>
        <v>0</v>
      </c>
      <c r="Y174" s="52">
        <f t="shared" si="52"/>
        <v>0</v>
      </c>
      <c r="AB174" s="52">
        <f t="shared" si="53"/>
        <v>0</v>
      </c>
      <c r="AC174" s="39">
        <f t="shared" si="54"/>
        <v>750000</v>
      </c>
      <c r="AD174" s="56">
        <f t="shared" si="55"/>
        <v>112500</v>
      </c>
    </row>
    <row r="175" spans="1:30" s="3" customFormat="1" ht="15.6" x14ac:dyDescent="0.3">
      <c r="A175" s="2">
        <f t="shared" si="48"/>
        <v>75</v>
      </c>
      <c r="B175" s="3" t="s">
        <v>213</v>
      </c>
      <c r="E175" s="18"/>
      <c r="F175" s="18" t="s">
        <v>267</v>
      </c>
      <c r="G175" s="21">
        <v>1000000</v>
      </c>
      <c r="H175" s="4">
        <v>0.5</v>
      </c>
      <c r="I175" s="12">
        <f t="shared" si="47"/>
        <v>500000</v>
      </c>
      <c r="J175" s="18"/>
      <c r="M175" s="51">
        <f t="shared" si="49"/>
        <v>0</v>
      </c>
      <c r="Q175" s="52">
        <f t="shared" si="50"/>
        <v>0</v>
      </c>
      <c r="U175" s="52">
        <f t="shared" si="51"/>
        <v>0</v>
      </c>
      <c r="Y175" s="52">
        <f t="shared" si="52"/>
        <v>0</v>
      </c>
      <c r="AB175" s="52">
        <f t="shared" si="53"/>
        <v>0</v>
      </c>
      <c r="AC175" s="39">
        <f t="shared" si="54"/>
        <v>1000000</v>
      </c>
      <c r="AD175" s="56">
        <f t="shared" si="55"/>
        <v>500000</v>
      </c>
    </row>
    <row r="176" spans="1:30" s="3" customFormat="1" ht="15.6" x14ac:dyDescent="0.3">
      <c r="A176" s="2">
        <f t="shared" si="48"/>
        <v>76</v>
      </c>
      <c r="B176" s="3" t="s">
        <v>214</v>
      </c>
      <c r="E176" s="18"/>
      <c r="F176" s="18" t="s">
        <v>263</v>
      </c>
      <c r="G176" s="21">
        <v>500000</v>
      </c>
      <c r="H176" s="4">
        <v>1.1000000000000001</v>
      </c>
      <c r="I176" s="12">
        <f t="shared" si="47"/>
        <v>550000</v>
      </c>
      <c r="J176" s="18"/>
      <c r="M176" s="51">
        <f t="shared" ref="M176:M224" si="56">SUM(K176:L176)</f>
        <v>0</v>
      </c>
      <c r="Q176" s="52">
        <f t="shared" ref="Q176:Q224" si="57">SUM(N176:P176)</f>
        <v>0</v>
      </c>
      <c r="U176" s="52">
        <f t="shared" ref="U176:U224" si="58">SUM(R176:T176)</f>
        <v>0</v>
      </c>
      <c r="Y176" s="52">
        <f t="shared" ref="Y176:Y224" si="59">SUM(V176:X176)</f>
        <v>0</v>
      </c>
      <c r="AB176" s="52">
        <f t="shared" ref="AB176:AB224" si="60">SUM(Z176:AA176)</f>
        <v>0</v>
      </c>
      <c r="AC176" s="39">
        <f t="shared" ref="AC176:AC224" si="61">G176-K176-L176-N176-O176-P176-R176-S176-T176-V176-W176-X176-Z176-AA176</f>
        <v>500000</v>
      </c>
      <c r="AD176" s="56">
        <f t="shared" ref="AD176:AD224" si="62">AC176*H176</f>
        <v>550000</v>
      </c>
    </row>
    <row r="177" spans="1:30" s="3" customFormat="1" ht="15.6" x14ac:dyDescent="0.3">
      <c r="A177" s="2">
        <f t="shared" si="48"/>
        <v>77</v>
      </c>
      <c r="B177" s="3" t="s">
        <v>215</v>
      </c>
      <c r="E177" s="18"/>
      <c r="F177" s="18" t="s">
        <v>263</v>
      </c>
      <c r="G177" s="21">
        <v>200000</v>
      </c>
      <c r="H177" s="4">
        <v>1.8</v>
      </c>
      <c r="I177" s="12">
        <f t="shared" si="47"/>
        <v>360000</v>
      </c>
      <c r="J177" s="18"/>
      <c r="M177" s="51">
        <f t="shared" si="56"/>
        <v>0</v>
      </c>
      <c r="Q177" s="52">
        <f t="shared" si="57"/>
        <v>0</v>
      </c>
      <c r="U177" s="52">
        <f t="shared" si="58"/>
        <v>0</v>
      </c>
      <c r="Y177" s="52">
        <f t="shared" si="59"/>
        <v>0</v>
      </c>
      <c r="AB177" s="52">
        <f t="shared" si="60"/>
        <v>0</v>
      </c>
      <c r="AC177" s="39">
        <f t="shared" si="61"/>
        <v>200000</v>
      </c>
      <c r="AD177" s="56">
        <f t="shared" si="62"/>
        <v>360000</v>
      </c>
    </row>
    <row r="178" spans="1:30" s="3" customFormat="1" ht="15.6" x14ac:dyDescent="0.3">
      <c r="A178" s="2">
        <f t="shared" si="48"/>
        <v>78</v>
      </c>
      <c r="B178" s="3" t="s">
        <v>216</v>
      </c>
      <c r="E178" s="18"/>
      <c r="F178" s="18" t="s">
        <v>265</v>
      </c>
      <c r="G178" s="21">
        <v>300000</v>
      </c>
      <c r="H178" s="4">
        <v>0.15</v>
      </c>
      <c r="I178" s="12">
        <f t="shared" si="47"/>
        <v>45000</v>
      </c>
      <c r="J178" s="18"/>
      <c r="M178" s="51">
        <f t="shared" si="56"/>
        <v>0</v>
      </c>
      <c r="Q178" s="52">
        <f t="shared" si="57"/>
        <v>0</v>
      </c>
      <c r="U178" s="52">
        <f t="shared" si="58"/>
        <v>0</v>
      </c>
      <c r="Y178" s="52">
        <f t="shared" si="59"/>
        <v>0</v>
      </c>
      <c r="AB178" s="52">
        <f t="shared" si="60"/>
        <v>0</v>
      </c>
      <c r="AC178" s="39">
        <f t="shared" si="61"/>
        <v>300000</v>
      </c>
      <c r="AD178" s="56">
        <f t="shared" si="62"/>
        <v>45000</v>
      </c>
    </row>
    <row r="179" spans="1:30" s="3" customFormat="1" ht="15.6" x14ac:dyDescent="0.3">
      <c r="A179" s="2">
        <f t="shared" si="48"/>
        <v>79</v>
      </c>
      <c r="B179" s="3" t="s">
        <v>217</v>
      </c>
      <c r="E179" s="18"/>
      <c r="F179" s="18" t="s">
        <v>265</v>
      </c>
      <c r="G179" s="21">
        <v>300000</v>
      </c>
      <c r="H179" s="4">
        <v>0.05</v>
      </c>
      <c r="I179" s="12">
        <f t="shared" si="47"/>
        <v>15000</v>
      </c>
      <c r="J179" s="18"/>
      <c r="M179" s="51">
        <f t="shared" si="56"/>
        <v>0</v>
      </c>
      <c r="Q179" s="52">
        <f t="shared" si="57"/>
        <v>0</v>
      </c>
      <c r="U179" s="52">
        <f t="shared" si="58"/>
        <v>0</v>
      </c>
      <c r="Y179" s="52">
        <f t="shared" si="59"/>
        <v>0</v>
      </c>
      <c r="AB179" s="52">
        <f t="shared" si="60"/>
        <v>0</v>
      </c>
      <c r="AC179" s="39">
        <f t="shared" si="61"/>
        <v>300000</v>
      </c>
      <c r="AD179" s="56">
        <f t="shared" si="62"/>
        <v>15000</v>
      </c>
    </row>
    <row r="180" spans="1:30" s="3" customFormat="1" ht="15.6" x14ac:dyDescent="0.3">
      <c r="A180" s="2">
        <f t="shared" si="48"/>
        <v>80</v>
      </c>
      <c r="B180" s="3" t="s">
        <v>218</v>
      </c>
      <c r="E180" s="18"/>
      <c r="F180" s="18" t="s">
        <v>265</v>
      </c>
      <c r="G180" s="21">
        <v>300000</v>
      </c>
      <c r="H180" s="4">
        <v>0.2</v>
      </c>
      <c r="I180" s="12">
        <f t="shared" si="47"/>
        <v>60000</v>
      </c>
      <c r="J180" s="18"/>
      <c r="M180" s="51">
        <f t="shared" si="56"/>
        <v>0</v>
      </c>
      <c r="Q180" s="52">
        <f t="shared" si="57"/>
        <v>0</v>
      </c>
      <c r="U180" s="52">
        <f t="shared" si="58"/>
        <v>0</v>
      </c>
      <c r="Y180" s="52">
        <f t="shared" si="59"/>
        <v>0</v>
      </c>
      <c r="AB180" s="52">
        <f t="shared" si="60"/>
        <v>0</v>
      </c>
      <c r="AC180" s="39">
        <f t="shared" si="61"/>
        <v>300000</v>
      </c>
      <c r="AD180" s="56">
        <f t="shared" si="62"/>
        <v>60000</v>
      </c>
    </row>
    <row r="181" spans="1:30" s="3" customFormat="1" ht="15.6" x14ac:dyDescent="0.3">
      <c r="A181" s="2">
        <f t="shared" si="48"/>
        <v>81</v>
      </c>
      <c r="B181" s="3" t="s">
        <v>219</v>
      </c>
      <c r="E181" s="18"/>
      <c r="F181" s="18" t="s">
        <v>265</v>
      </c>
      <c r="G181" s="21">
        <v>300000</v>
      </c>
      <c r="H181" s="4">
        <v>0.8</v>
      </c>
      <c r="I181" s="12">
        <f t="shared" si="47"/>
        <v>240000</v>
      </c>
      <c r="J181" s="18"/>
      <c r="M181" s="51">
        <f t="shared" si="56"/>
        <v>0</v>
      </c>
      <c r="Q181" s="52">
        <f t="shared" si="57"/>
        <v>0</v>
      </c>
      <c r="U181" s="52">
        <f t="shared" si="58"/>
        <v>0</v>
      </c>
      <c r="Y181" s="52">
        <f t="shared" si="59"/>
        <v>0</v>
      </c>
      <c r="AB181" s="52">
        <f t="shared" si="60"/>
        <v>0</v>
      </c>
      <c r="AC181" s="39">
        <f t="shared" si="61"/>
        <v>300000</v>
      </c>
      <c r="AD181" s="56">
        <f t="shared" si="62"/>
        <v>240000</v>
      </c>
    </row>
    <row r="182" spans="1:30" s="3" customFormat="1" ht="15.6" x14ac:dyDescent="0.3">
      <c r="A182" s="2">
        <f t="shared" si="48"/>
        <v>82</v>
      </c>
      <c r="B182" s="3" t="s">
        <v>220</v>
      </c>
      <c r="E182" s="18"/>
      <c r="F182" s="18" t="s">
        <v>265</v>
      </c>
      <c r="G182" s="21">
        <v>300000</v>
      </c>
      <c r="H182" s="4">
        <v>0.02</v>
      </c>
      <c r="I182" s="12">
        <f t="shared" si="47"/>
        <v>6000</v>
      </c>
      <c r="J182" s="18"/>
      <c r="M182" s="51">
        <f t="shared" si="56"/>
        <v>0</v>
      </c>
      <c r="Q182" s="52">
        <f t="shared" si="57"/>
        <v>0</v>
      </c>
      <c r="U182" s="52">
        <f t="shared" si="58"/>
        <v>0</v>
      </c>
      <c r="Y182" s="52">
        <f t="shared" si="59"/>
        <v>0</v>
      </c>
      <c r="AB182" s="52">
        <f t="shared" si="60"/>
        <v>0</v>
      </c>
      <c r="AC182" s="39">
        <f t="shared" si="61"/>
        <v>300000</v>
      </c>
      <c r="AD182" s="56">
        <f t="shared" si="62"/>
        <v>6000</v>
      </c>
    </row>
    <row r="183" spans="1:30" s="3" customFormat="1" ht="15.6" x14ac:dyDescent="0.3">
      <c r="A183" s="2">
        <f t="shared" si="48"/>
        <v>83</v>
      </c>
      <c r="B183" s="3" t="s">
        <v>221</v>
      </c>
      <c r="E183" s="18"/>
      <c r="F183" s="18" t="s">
        <v>263</v>
      </c>
      <c r="G183" s="21">
        <v>120000</v>
      </c>
      <c r="H183" s="4">
        <v>1.2</v>
      </c>
      <c r="I183" s="12">
        <f t="shared" si="47"/>
        <v>144000</v>
      </c>
      <c r="J183" s="18"/>
      <c r="M183" s="51">
        <f t="shared" si="56"/>
        <v>0</v>
      </c>
      <c r="Q183" s="52">
        <f t="shared" si="57"/>
        <v>0</v>
      </c>
      <c r="U183" s="52">
        <f t="shared" si="58"/>
        <v>0</v>
      </c>
      <c r="Y183" s="52">
        <f t="shared" si="59"/>
        <v>0</v>
      </c>
      <c r="AB183" s="52">
        <f t="shared" si="60"/>
        <v>0</v>
      </c>
      <c r="AC183" s="39">
        <f t="shared" si="61"/>
        <v>120000</v>
      </c>
      <c r="AD183" s="56">
        <f t="shared" si="62"/>
        <v>144000</v>
      </c>
    </row>
    <row r="184" spans="1:30" s="3" customFormat="1" ht="15.6" x14ac:dyDescent="0.3">
      <c r="A184" s="2">
        <f t="shared" si="48"/>
        <v>84</v>
      </c>
      <c r="B184" s="3" t="s">
        <v>222</v>
      </c>
      <c r="E184" s="18"/>
      <c r="F184" s="18" t="s">
        <v>25</v>
      </c>
      <c r="G184" s="21">
        <v>5000000</v>
      </c>
      <c r="H184" s="4">
        <v>0.01</v>
      </c>
      <c r="I184" s="12">
        <f t="shared" si="47"/>
        <v>50000</v>
      </c>
      <c r="J184" s="18"/>
      <c r="M184" s="51">
        <f t="shared" si="56"/>
        <v>0</v>
      </c>
      <c r="Q184" s="52">
        <f t="shared" si="57"/>
        <v>0</v>
      </c>
      <c r="U184" s="52">
        <f t="shared" si="58"/>
        <v>0</v>
      </c>
      <c r="Y184" s="52">
        <f t="shared" si="59"/>
        <v>0</v>
      </c>
      <c r="AB184" s="52">
        <f t="shared" si="60"/>
        <v>0</v>
      </c>
      <c r="AC184" s="39">
        <f t="shared" si="61"/>
        <v>5000000</v>
      </c>
      <c r="AD184" s="56">
        <f t="shared" si="62"/>
        <v>50000</v>
      </c>
    </row>
    <row r="185" spans="1:30" s="3" customFormat="1" ht="15.6" x14ac:dyDescent="0.3">
      <c r="A185" s="2">
        <f t="shared" si="48"/>
        <v>85</v>
      </c>
      <c r="B185" s="3" t="s">
        <v>223</v>
      </c>
      <c r="E185" s="18"/>
      <c r="F185" s="18" t="s">
        <v>25</v>
      </c>
      <c r="G185" s="21">
        <v>2800000</v>
      </c>
      <c r="H185" s="4">
        <v>0.03</v>
      </c>
      <c r="I185" s="12">
        <f t="shared" si="47"/>
        <v>84000</v>
      </c>
      <c r="J185" s="18"/>
      <c r="M185" s="51">
        <f t="shared" si="56"/>
        <v>0</v>
      </c>
      <c r="Q185" s="52">
        <f t="shared" si="57"/>
        <v>0</v>
      </c>
      <c r="U185" s="52">
        <f t="shared" si="58"/>
        <v>0</v>
      </c>
      <c r="Y185" s="52">
        <f t="shared" si="59"/>
        <v>0</v>
      </c>
      <c r="AB185" s="52">
        <f t="shared" si="60"/>
        <v>0</v>
      </c>
      <c r="AC185" s="39">
        <f t="shared" si="61"/>
        <v>2800000</v>
      </c>
      <c r="AD185" s="56">
        <f t="shared" si="62"/>
        <v>84000</v>
      </c>
    </row>
    <row r="186" spans="1:30" s="3" customFormat="1" ht="15.6" x14ac:dyDescent="0.3">
      <c r="A186" s="2">
        <f t="shared" si="48"/>
        <v>86</v>
      </c>
      <c r="B186" s="3" t="s">
        <v>224</v>
      </c>
      <c r="E186" s="18"/>
      <c r="F186" s="18" t="s">
        <v>25</v>
      </c>
      <c r="G186" s="21">
        <v>6500000</v>
      </c>
      <c r="H186" s="4">
        <v>0.01</v>
      </c>
      <c r="I186" s="12">
        <f t="shared" si="47"/>
        <v>65000</v>
      </c>
      <c r="J186" s="18"/>
      <c r="M186" s="51">
        <f t="shared" si="56"/>
        <v>0</v>
      </c>
      <c r="Q186" s="52">
        <f t="shared" si="57"/>
        <v>0</v>
      </c>
      <c r="U186" s="52">
        <f t="shared" si="58"/>
        <v>0</v>
      </c>
      <c r="Y186" s="52">
        <f t="shared" si="59"/>
        <v>0</v>
      </c>
      <c r="AB186" s="52">
        <f t="shared" si="60"/>
        <v>0</v>
      </c>
      <c r="AC186" s="39">
        <f t="shared" si="61"/>
        <v>6500000</v>
      </c>
      <c r="AD186" s="56">
        <f t="shared" si="62"/>
        <v>65000</v>
      </c>
    </row>
    <row r="187" spans="1:30" s="3" customFormat="1" ht="15.6" x14ac:dyDescent="0.3">
      <c r="A187" s="2">
        <f t="shared" si="48"/>
        <v>87</v>
      </c>
      <c r="B187" s="3" t="s">
        <v>225</v>
      </c>
      <c r="E187" s="18"/>
      <c r="F187" s="18" t="s">
        <v>265</v>
      </c>
      <c r="G187" s="21">
        <v>300000</v>
      </c>
      <c r="H187" s="4">
        <v>0.1</v>
      </c>
      <c r="I187" s="12">
        <f t="shared" si="47"/>
        <v>30000</v>
      </c>
      <c r="J187" s="18"/>
      <c r="M187" s="51">
        <f t="shared" si="56"/>
        <v>0</v>
      </c>
      <c r="Q187" s="52">
        <f t="shared" si="57"/>
        <v>0</v>
      </c>
      <c r="U187" s="52">
        <f t="shared" si="58"/>
        <v>0</v>
      </c>
      <c r="Y187" s="52">
        <f t="shared" si="59"/>
        <v>0</v>
      </c>
      <c r="AB187" s="52">
        <f t="shared" si="60"/>
        <v>0</v>
      </c>
      <c r="AC187" s="39">
        <f t="shared" si="61"/>
        <v>300000</v>
      </c>
      <c r="AD187" s="56">
        <f t="shared" si="62"/>
        <v>30000</v>
      </c>
    </row>
    <row r="188" spans="1:30" s="3" customFormat="1" ht="15.6" x14ac:dyDescent="0.3">
      <c r="A188" s="2">
        <f t="shared" si="48"/>
        <v>88</v>
      </c>
      <c r="B188" s="3" t="s">
        <v>226</v>
      </c>
      <c r="E188" s="18"/>
      <c r="F188" s="18" t="s">
        <v>265</v>
      </c>
      <c r="G188" s="21">
        <v>300000</v>
      </c>
      <c r="H188" s="4">
        <v>0.1</v>
      </c>
      <c r="I188" s="12">
        <f t="shared" si="47"/>
        <v>30000</v>
      </c>
      <c r="J188" s="18"/>
      <c r="M188" s="51">
        <f t="shared" si="56"/>
        <v>0</v>
      </c>
      <c r="Q188" s="52">
        <f t="shared" si="57"/>
        <v>0</v>
      </c>
      <c r="U188" s="52">
        <f t="shared" si="58"/>
        <v>0</v>
      </c>
      <c r="Y188" s="52">
        <f t="shared" si="59"/>
        <v>0</v>
      </c>
      <c r="AB188" s="52">
        <f t="shared" si="60"/>
        <v>0</v>
      </c>
      <c r="AC188" s="39">
        <f t="shared" si="61"/>
        <v>300000</v>
      </c>
      <c r="AD188" s="56">
        <f t="shared" si="62"/>
        <v>30000</v>
      </c>
    </row>
    <row r="189" spans="1:30" s="3" customFormat="1" ht="15.6" x14ac:dyDescent="0.3">
      <c r="A189" s="2">
        <f t="shared" si="48"/>
        <v>89</v>
      </c>
      <c r="B189" s="3" t="s">
        <v>227</v>
      </c>
      <c r="E189" s="18"/>
      <c r="F189" s="18" t="s">
        <v>265</v>
      </c>
      <c r="G189" s="21">
        <v>300000</v>
      </c>
      <c r="H189" s="4">
        <v>0.1</v>
      </c>
      <c r="I189" s="12">
        <f t="shared" si="47"/>
        <v>30000</v>
      </c>
      <c r="J189" s="18"/>
      <c r="M189" s="51">
        <f t="shared" si="56"/>
        <v>0</v>
      </c>
      <c r="Q189" s="52">
        <f t="shared" si="57"/>
        <v>0</v>
      </c>
      <c r="U189" s="52">
        <f t="shared" si="58"/>
        <v>0</v>
      </c>
      <c r="Y189" s="52">
        <f t="shared" si="59"/>
        <v>0</v>
      </c>
      <c r="AB189" s="52">
        <f t="shared" si="60"/>
        <v>0</v>
      </c>
      <c r="AC189" s="39">
        <f t="shared" si="61"/>
        <v>300000</v>
      </c>
      <c r="AD189" s="56">
        <f t="shared" si="62"/>
        <v>30000</v>
      </c>
    </row>
    <row r="190" spans="1:30" s="3" customFormat="1" ht="15.6" x14ac:dyDescent="0.3">
      <c r="A190" s="2">
        <f t="shared" si="48"/>
        <v>90</v>
      </c>
      <c r="B190" s="3" t="s">
        <v>228</v>
      </c>
      <c r="E190" s="18"/>
      <c r="F190" s="18" t="s">
        <v>265</v>
      </c>
      <c r="G190" s="21">
        <v>300000</v>
      </c>
      <c r="H190" s="4">
        <v>0.1</v>
      </c>
      <c r="I190" s="12">
        <f t="shared" si="47"/>
        <v>30000</v>
      </c>
      <c r="J190" s="18"/>
      <c r="M190" s="51">
        <f t="shared" si="56"/>
        <v>0</v>
      </c>
      <c r="Q190" s="52">
        <f t="shared" si="57"/>
        <v>0</v>
      </c>
      <c r="U190" s="52">
        <f t="shared" si="58"/>
        <v>0</v>
      </c>
      <c r="Y190" s="52">
        <f t="shared" si="59"/>
        <v>0</v>
      </c>
      <c r="AB190" s="52">
        <f t="shared" si="60"/>
        <v>0</v>
      </c>
      <c r="AC190" s="39">
        <f t="shared" si="61"/>
        <v>300000</v>
      </c>
      <c r="AD190" s="56">
        <f t="shared" si="62"/>
        <v>30000</v>
      </c>
    </row>
    <row r="191" spans="1:30" s="3" customFormat="1" ht="15.6" x14ac:dyDescent="0.3">
      <c r="A191" s="2">
        <f t="shared" si="48"/>
        <v>91</v>
      </c>
      <c r="B191" s="3" t="s">
        <v>229</v>
      </c>
      <c r="E191" s="18"/>
      <c r="F191" s="18" t="s">
        <v>265</v>
      </c>
      <c r="G191" s="21">
        <v>300000</v>
      </c>
      <c r="H191" s="4">
        <v>0.15</v>
      </c>
      <c r="I191" s="12">
        <f t="shared" si="47"/>
        <v>45000</v>
      </c>
      <c r="J191" s="18"/>
      <c r="M191" s="51">
        <f t="shared" si="56"/>
        <v>0</v>
      </c>
      <c r="Q191" s="52">
        <f t="shared" si="57"/>
        <v>0</v>
      </c>
      <c r="U191" s="52">
        <f t="shared" si="58"/>
        <v>0</v>
      </c>
      <c r="Y191" s="52">
        <f t="shared" si="59"/>
        <v>0</v>
      </c>
      <c r="AB191" s="52">
        <f t="shared" si="60"/>
        <v>0</v>
      </c>
      <c r="AC191" s="39">
        <f t="shared" si="61"/>
        <v>300000</v>
      </c>
      <c r="AD191" s="56">
        <f t="shared" si="62"/>
        <v>45000</v>
      </c>
    </row>
    <row r="192" spans="1:30" s="3" customFormat="1" ht="15.6" x14ac:dyDescent="0.3">
      <c r="A192" s="2">
        <f t="shared" si="48"/>
        <v>92</v>
      </c>
      <c r="B192" s="3" t="s">
        <v>230</v>
      </c>
      <c r="E192" s="18"/>
      <c r="F192" s="18" t="s">
        <v>265</v>
      </c>
      <c r="G192" s="21">
        <v>100000</v>
      </c>
      <c r="H192" s="4">
        <v>0.15</v>
      </c>
      <c r="I192" s="12">
        <f t="shared" si="47"/>
        <v>15000</v>
      </c>
      <c r="J192" s="18"/>
      <c r="M192" s="51">
        <f t="shared" si="56"/>
        <v>0</v>
      </c>
      <c r="Q192" s="52">
        <f t="shared" si="57"/>
        <v>0</v>
      </c>
      <c r="U192" s="52">
        <f t="shared" si="58"/>
        <v>0</v>
      </c>
      <c r="Y192" s="52">
        <f t="shared" si="59"/>
        <v>0</v>
      </c>
      <c r="AB192" s="52">
        <f t="shared" si="60"/>
        <v>0</v>
      </c>
      <c r="AC192" s="39">
        <f t="shared" si="61"/>
        <v>100000</v>
      </c>
      <c r="AD192" s="56">
        <f t="shared" si="62"/>
        <v>15000</v>
      </c>
    </row>
    <row r="193" spans="1:30" s="3" customFormat="1" ht="15.6" x14ac:dyDescent="0.3">
      <c r="A193" s="2">
        <f t="shared" si="48"/>
        <v>93</v>
      </c>
      <c r="B193" s="3" t="s">
        <v>231</v>
      </c>
      <c r="E193" s="18"/>
      <c r="F193" s="18" t="s">
        <v>266</v>
      </c>
      <c r="G193" s="21">
        <v>200000</v>
      </c>
      <c r="H193" s="4">
        <v>4</v>
      </c>
      <c r="I193" s="12">
        <f t="shared" si="47"/>
        <v>800000</v>
      </c>
      <c r="J193" s="18"/>
      <c r="M193" s="51">
        <f t="shared" si="56"/>
        <v>0</v>
      </c>
      <c r="Q193" s="52">
        <f t="shared" si="57"/>
        <v>0</v>
      </c>
      <c r="U193" s="52">
        <f t="shared" si="58"/>
        <v>0</v>
      </c>
      <c r="Y193" s="52">
        <f t="shared" si="59"/>
        <v>0</v>
      </c>
      <c r="AB193" s="52">
        <f t="shared" si="60"/>
        <v>0</v>
      </c>
      <c r="AC193" s="39">
        <f t="shared" si="61"/>
        <v>200000</v>
      </c>
      <c r="AD193" s="56">
        <f t="shared" si="62"/>
        <v>800000</v>
      </c>
    </row>
    <row r="194" spans="1:30" s="3" customFormat="1" ht="15.6" x14ac:dyDescent="0.3">
      <c r="A194" s="2">
        <f t="shared" si="48"/>
        <v>94</v>
      </c>
      <c r="B194" s="3" t="s">
        <v>232</v>
      </c>
      <c r="E194" s="18"/>
      <c r="F194" s="18" t="s">
        <v>265</v>
      </c>
      <c r="G194" s="21">
        <v>1200000</v>
      </c>
      <c r="H194" s="4">
        <v>0.2</v>
      </c>
      <c r="I194" s="12">
        <f t="shared" si="47"/>
        <v>240000</v>
      </c>
      <c r="J194" s="18"/>
      <c r="M194" s="51">
        <f t="shared" si="56"/>
        <v>0</v>
      </c>
      <c r="Q194" s="52">
        <f t="shared" si="57"/>
        <v>0</v>
      </c>
      <c r="U194" s="52">
        <f t="shared" si="58"/>
        <v>0</v>
      </c>
      <c r="Y194" s="52">
        <f t="shared" si="59"/>
        <v>0</v>
      </c>
      <c r="AB194" s="52">
        <f t="shared" si="60"/>
        <v>0</v>
      </c>
      <c r="AC194" s="39">
        <f t="shared" si="61"/>
        <v>1200000</v>
      </c>
      <c r="AD194" s="56">
        <f t="shared" si="62"/>
        <v>240000</v>
      </c>
    </row>
    <row r="195" spans="1:30" s="3" customFormat="1" ht="15.6" x14ac:dyDescent="0.3">
      <c r="A195" s="2">
        <f t="shared" si="48"/>
        <v>95</v>
      </c>
      <c r="B195" s="3" t="s">
        <v>233</v>
      </c>
      <c r="E195" s="18"/>
      <c r="F195" s="18" t="s">
        <v>266</v>
      </c>
      <c r="G195" s="21">
        <v>200000</v>
      </c>
      <c r="H195" s="4">
        <v>1.2</v>
      </c>
      <c r="I195" s="12">
        <f t="shared" si="47"/>
        <v>240000</v>
      </c>
      <c r="J195" s="18"/>
      <c r="M195" s="51">
        <f t="shared" si="56"/>
        <v>0</v>
      </c>
      <c r="Q195" s="52">
        <f t="shared" si="57"/>
        <v>0</v>
      </c>
      <c r="U195" s="52">
        <f t="shared" si="58"/>
        <v>0</v>
      </c>
      <c r="Y195" s="52">
        <f t="shared" si="59"/>
        <v>0</v>
      </c>
      <c r="AB195" s="52">
        <f t="shared" si="60"/>
        <v>0</v>
      </c>
      <c r="AC195" s="39">
        <f t="shared" si="61"/>
        <v>200000</v>
      </c>
      <c r="AD195" s="56">
        <f t="shared" si="62"/>
        <v>240000</v>
      </c>
    </row>
    <row r="196" spans="1:30" s="3" customFormat="1" ht="15.6" x14ac:dyDescent="0.3">
      <c r="A196" s="2">
        <f t="shared" si="48"/>
        <v>96</v>
      </c>
      <c r="B196" s="3" t="s">
        <v>234</v>
      </c>
      <c r="E196" s="18"/>
      <c r="F196" s="18" t="s">
        <v>266</v>
      </c>
      <c r="G196" s="21">
        <v>50000</v>
      </c>
      <c r="H196" s="4">
        <v>1.8</v>
      </c>
      <c r="I196" s="12">
        <f t="shared" si="47"/>
        <v>90000</v>
      </c>
      <c r="J196" s="18"/>
      <c r="M196" s="51">
        <f t="shared" si="56"/>
        <v>0</v>
      </c>
      <c r="Q196" s="52">
        <f t="shared" si="57"/>
        <v>0</v>
      </c>
      <c r="U196" s="52">
        <f t="shared" si="58"/>
        <v>0</v>
      </c>
      <c r="Y196" s="52">
        <f t="shared" si="59"/>
        <v>0</v>
      </c>
      <c r="AB196" s="52">
        <f t="shared" si="60"/>
        <v>0</v>
      </c>
      <c r="AC196" s="39">
        <f t="shared" si="61"/>
        <v>50000</v>
      </c>
      <c r="AD196" s="56">
        <f t="shared" si="62"/>
        <v>90000</v>
      </c>
    </row>
    <row r="197" spans="1:30" s="3" customFormat="1" ht="15.6" x14ac:dyDescent="0.3">
      <c r="A197" s="2">
        <f t="shared" si="48"/>
        <v>97</v>
      </c>
      <c r="B197" s="3" t="s">
        <v>235</v>
      </c>
      <c r="E197" s="18"/>
      <c r="F197" s="18" t="s">
        <v>265</v>
      </c>
      <c r="G197" s="21">
        <v>300000</v>
      </c>
      <c r="H197" s="4">
        <v>0.1</v>
      </c>
      <c r="I197" s="12">
        <f t="shared" si="47"/>
        <v>30000</v>
      </c>
      <c r="J197" s="18"/>
      <c r="M197" s="51">
        <f t="shared" si="56"/>
        <v>0</v>
      </c>
      <c r="Q197" s="52">
        <f t="shared" si="57"/>
        <v>0</v>
      </c>
      <c r="U197" s="52">
        <f t="shared" si="58"/>
        <v>0</v>
      </c>
      <c r="Y197" s="52">
        <f t="shared" si="59"/>
        <v>0</v>
      </c>
      <c r="AB197" s="52">
        <f t="shared" si="60"/>
        <v>0</v>
      </c>
      <c r="AC197" s="39">
        <f t="shared" si="61"/>
        <v>300000</v>
      </c>
      <c r="AD197" s="56">
        <f t="shared" si="62"/>
        <v>30000</v>
      </c>
    </row>
    <row r="198" spans="1:30" s="3" customFormat="1" ht="15.6" x14ac:dyDescent="0.3">
      <c r="A198" s="2">
        <f t="shared" si="48"/>
        <v>98</v>
      </c>
      <c r="B198" s="3" t="s">
        <v>236</v>
      </c>
      <c r="E198" s="18"/>
      <c r="F198" s="18" t="s">
        <v>265</v>
      </c>
      <c r="G198" s="21">
        <v>300000</v>
      </c>
      <c r="H198" s="4">
        <v>0.1</v>
      </c>
      <c r="I198" s="12">
        <f t="shared" si="47"/>
        <v>30000</v>
      </c>
      <c r="J198" s="18"/>
      <c r="M198" s="51">
        <f t="shared" si="56"/>
        <v>0</v>
      </c>
      <c r="Q198" s="52">
        <f t="shared" si="57"/>
        <v>0</v>
      </c>
      <c r="U198" s="52">
        <f t="shared" si="58"/>
        <v>0</v>
      </c>
      <c r="Y198" s="52">
        <f t="shared" si="59"/>
        <v>0</v>
      </c>
      <c r="AB198" s="52">
        <f t="shared" si="60"/>
        <v>0</v>
      </c>
      <c r="AC198" s="39">
        <f t="shared" si="61"/>
        <v>300000</v>
      </c>
      <c r="AD198" s="56">
        <f t="shared" si="62"/>
        <v>30000</v>
      </c>
    </row>
    <row r="199" spans="1:30" s="3" customFormat="1" ht="15.6" x14ac:dyDescent="0.3">
      <c r="A199" s="2">
        <f t="shared" si="48"/>
        <v>99</v>
      </c>
      <c r="B199" s="3" t="s">
        <v>237</v>
      </c>
      <c r="E199" s="18"/>
      <c r="F199" s="18" t="s">
        <v>265</v>
      </c>
      <c r="G199" s="21">
        <v>300000</v>
      </c>
      <c r="H199" s="4">
        <v>0.1</v>
      </c>
      <c r="I199" s="12">
        <f t="shared" si="47"/>
        <v>30000</v>
      </c>
      <c r="J199" s="18"/>
      <c r="M199" s="51">
        <f t="shared" si="56"/>
        <v>0</v>
      </c>
      <c r="Q199" s="52">
        <f t="shared" si="57"/>
        <v>0</v>
      </c>
      <c r="U199" s="52">
        <f t="shared" si="58"/>
        <v>0</v>
      </c>
      <c r="Y199" s="52">
        <f t="shared" si="59"/>
        <v>0</v>
      </c>
      <c r="AB199" s="52">
        <f t="shared" si="60"/>
        <v>0</v>
      </c>
      <c r="AC199" s="39">
        <f t="shared" si="61"/>
        <v>300000</v>
      </c>
      <c r="AD199" s="56">
        <f t="shared" si="62"/>
        <v>30000</v>
      </c>
    </row>
    <row r="200" spans="1:30" s="3" customFormat="1" ht="15.6" x14ac:dyDescent="0.3">
      <c r="A200" s="2">
        <f t="shared" si="48"/>
        <v>100</v>
      </c>
      <c r="B200" s="3" t="s">
        <v>238</v>
      </c>
      <c r="E200" s="18"/>
      <c r="F200" s="18" t="s">
        <v>265</v>
      </c>
      <c r="G200" s="21">
        <v>300000</v>
      </c>
      <c r="H200" s="4">
        <v>0.1</v>
      </c>
      <c r="I200" s="12">
        <f t="shared" si="47"/>
        <v>30000</v>
      </c>
      <c r="J200" s="18"/>
      <c r="M200" s="51">
        <f t="shared" si="56"/>
        <v>0</v>
      </c>
      <c r="Q200" s="52">
        <f t="shared" si="57"/>
        <v>0</v>
      </c>
      <c r="U200" s="52">
        <f t="shared" si="58"/>
        <v>0</v>
      </c>
      <c r="Y200" s="52">
        <f t="shared" si="59"/>
        <v>0</v>
      </c>
      <c r="AB200" s="52">
        <f t="shared" si="60"/>
        <v>0</v>
      </c>
      <c r="AC200" s="39">
        <f t="shared" si="61"/>
        <v>300000</v>
      </c>
      <c r="AD200" s="56">
        <f t="shared" si="62"/>
        <v>30000</v>
      </c>
    </row>
    <row r="201" spans="1:30" s="3" customFormat="1" ht="15.6" x14ac:dyDescent="0.3">
      <c r="A201" s="2">
        <f t="shared" si="48"/>
        <v>101</v>
      </c>
      <c r="B201" s="3" t="s">
        <v>239</v>
      </c>
      <c r="E201" s="18"/>
      <c r="F201" s="18" t="s">
        <v>265</v>
      </c>
      <c r="G201" s="21">
        <v>300000</v>
      </c>
      <c r="H201" s="4">
        <v>0.2</v>
      </c>
      <c r="I201" s="12">
        <f t="shared" si="47"/>
        <v>60000</v>
      </c>
      <c r="J201" s="18"/>
      <c r="M201" s="51">
        <f t="shared" si="56"/>
        <v>0</v>
      </c>
      <c r="Q201" s="52">
        <f t="shared" si="57"/>
        <v>0</v>
      </c>
      <c r="U201" s="52">
        <f t="shared" si="58"/>
        <v>0</v>
      </c>
      <c r="Y201" s="52">
        <f t="shared" si="59"/>
        <v>0</v>
      </c>
      <c r="AB201" s="52">
        <f t="shared" si="60"/>
        <v>0</v>
      </c>
      <c r="AC201" s="39">
        <f t="shared" si="61"/>
        <v>300000</v>
      </c>
      <c r="AD201" s="56">
        <f t="shared" si="62"/>
        <v>60000</v>
      </c>
    </row>
    <row r="202" spans="1:30" s="3" customFormat="1" ht="15.6" x14ac:dyDescent="0.3">
      <c r="A202" s="2">
        <f t="shared" si="48"/>
        <v>102</v>
      </c>
      <c r="B202" s="3" t="s">
        <v>240</v>
      </c>
      <c r="E202" s="18"/>
      <c r="F202" s="18" t="s">
        <v>265</v>
      </c>
      <c r="G202" s="21">
        <v>300000</v>
      </c>
      <c r="H202" s="4">
        <v>1</v>
      </c>
      <c r="I202" s="12">
        <f t="shared" si="47"/>
        <v>300000</v>
      </c>
      <c r="J202" s="18"/>
      <c r="M202" s="51">
        <f t="shared" si="56"/>
        <v>0</v>
      </c>
      <c r="Q202" s="52">
        <f t="shared" si="57"/>
        <v>0</v>
      </c>
      <c r="U202" s="52">
        <f t="shared" si="58"/>
        <v>0</v>
      </c>
      <c r="Y202" s="52">
        <f t="shared" si="59"/>
        <v>0</v>
      </c>
      <c r="AB202" s="52">
        <f t="shared" si="60"/>
        <v>0</v>
      </c>
      <c r="AC202" s="39">
        <f t="shared" si="61"/>
        <v>300000</v>
      </c>
      <c r="AD202" s="56">
        <f t="shared" si="62"/>
        <v>300000</v>
      </c>
    </row>
    <row r="203" spans="1:30" s="3" customFormat="1" ht="15.6" x14ac:dyDescent="0.3">
      <c r="A203" s="2">
        <f t="shared" si="48"/>
        <v>103</v>
      </c>
      <c r="B203" s="3" t="s">
        <v>241</v>
      </c>
      <c r="E203" s="18"/>
      <c r="F203" s="18" t="s">
        <v>265</v>
      </c>
      <c r="G203" s="21">
        <v>300000</v>
      </c>
      <c r="H203" s="4">
        <v>0.15</v>
      </c>
      <c r="I203" s="12">
        <f t="shared" si="47"/>
        <v>45000</v>
      </c>
      <c r="J203" s="18"/>
      <c r="M203" s="51">
        <f t="shared" si="56"/>
        <v>0</v>
      </c>
      <c r="Q203" s="52">
        <f t="shared" si="57"/>
        <v>0</v>
      </c>
      <c r="U203" s="52">
        <f t="shared" si="58"/>
        <v>0</v>
      </c>
      <c r="Y203" s="52">
        <f t="shared" si="59"/>
        <v>0</v>
      </c>
      <c r="AB203" s="52">
        <f t="shared" si="60"/>
        <v>0</v>
      </c>
      <c r="AC203" s="39">
        <f t="shared" si="61"/>
        <v>300000</v>
      </c>
      <c r="AD203" s="56">
        <f t="shared" si="62"/>
        <v>45000</v>
      </c>
    </row>
    <row r="204" spans="1:30" s="3" customFormat="1" ht="15.6" x14ac:dyDescent="0.3">
      <c r="A204" s="2">
        <f t="shared" si="48"/>
        <v>104</v>
      </c>
      <c r="B204" s="3" t="s">
        <v>242</v>
      </c>
      <c r="E204" s="18"/>
      <c r="F204" s="18" t="s">
        <v>265</v>
      </c>
      <c r="G204" s="21">
        <v>300000</v>
      </c>
      <c r="H204" s="4">
        <v>0.5</v>
      </c>
      <c r="I204" s="12">
        <f t="shared" si="47"/>
        <v>150000</v>
      </c>
      <c r="J204" s="18"/>
      <c r="M204" s="51">
        <f t="shared" si="56"/>
        <v>0</v>
      </c>
      <c r="Q204" s="52">
        <f t="shared" si="57"/>
        <v>0</v>
      </c>
      <c r="U204" s="52">
        <f t="shared" si="58"/>
        <v>0</v>
      </c>
      <c r="Y204" s="52">
        <f t="shared" si="59"/>
        <v>0</v>
      </c>
      <c r="AB204" s="52">
        <f t="shared" si="60"/>
        <v>0</v>
      </c>
      <c r="AC204" s="39">
        <f t="shared" si="61"/>
        <v>300000</v>
      </c>
      <c r="AD204" s="56">
        <f t="shared" si="62"/>
        <v>150000</v>
      </c>
    </row>
    <row r="205" spans="1:30" s="3" customFormat="1" ht="15.6" x14ac:dyDescent="0.3">
      <c r="A205" s="2">
        <f t="shared" si="48"/>
        <v>105</v>
      </c>
      <c r="B205" s="3" t="s">
        <v>243</v>
      </c>
      <c r="E205" s="18"/>
      <c r="F205" s="18" t="s">
        <v>265</v>
      </c>
      <c r="G205" s="21">
        <v>300000</v>
      </c>
      <c r="H205" s="4">
        <v>0.5</v>
      </c>
      <c r="I205" s="12">
        <f t="shared" si="47"/>
        <v>150000</v>
      </c>
      <c r="J205" s="18"/>
      <c r="M205" s="51">
        <f t="shared" si="56"/>
        <v>0</v>
      </c>
      <c r="Q205" s="52">
        <f t="shared" si="57"/>
        <v>0</v>
      </c>
      <c r="U205" s="52">
        <f t="shared" si="58"/>
        <v>0</v>
      </c>
      <c r="Y205" s="52">
        <f t="shared" si="59"/>
        <v>0</v>
      </c>
      <c r="AB205" s="52">
        <f t="shared" si="60"/>
        <v>0</v>
      </c>
      <c r="AC205" s="39">
        <f t="shared" si="61"/>
        <v>300000</v>
      </c>
      <c r="AD205" s="56">
        <f t="shared" si="62"/>
        <v>150000</v>
      </c>
    </row>
    <row r="206" spans="1:30" s="3" customFormat="1" ht="15.6" x14ac:dyDescent="0.3">
      <c r="A206" s="2">
        <f t="shared" si="48"/>
        <v>106</v>
      </c>
      <c r="B206" s="3" t="s">
        <v>244</v>
      </c>
      <c r="E206" s="18"/>
      <c r="F206" s="18" t="s">
        <v>265</v>
      </c>
      <c r="G206" s="21">
        <v>50000</v>
      </c>
      <c r="H206" s="4">
        <v>1</v>
      </c>
      <c r="I206" s="12">
        <f t="shared" si="47"/>
        <v>50000</v>
      </c>
      <c r="J206" s="18"/>
      <c r="M206" s="51">
        <f t="shared" si="56"/>
        <v>0</v>
      </c>
      <c r="Q206" s="52">
        <f t="shared" si="57"/>
        <v>0</v>
      </c>
      <c r="U206" s="52">
        <f t="shared" si="58"/>
        <v>0</v>
      </c>
      <c r="Y206" s="52">
        <f t="shared" si="59"/>
        <v>0</v>
      </c>
      <c r="AB206" s="52">
        <f t="shared" si="60"/>
        <v>0</v>
      </c>
      <c r="AC206" s="39">
        <f t="shared" si="61"/>
        <v>50000</v>
      </c>
      <c r="AD206" s="56">
        <f t="shared" si="62"/>
        <v>50000</v>
      </c>
    </row>
    <row r="207" spans="1:30" s="3" customFormat="1" ht="15.6" x14ac:dyDescent="0.3">
      <c r="A207" s="2">
        <f t="shared" si="48"/>
        <v>107</v>
      </c>
      <c r="B207" s="3" t="s">
        <v>245</v>
      </c>
      <c r="E207" s="18"/>
      <c r="F207" s="18" t="s">
        <v>265</v>
      </c>
      <c r="G207" s="21">
        <v>50000</v>
      </c>
      <c r="H207" s="4">
        <v>0.24</v>
      </c>
      <c r="I207" s="12">
        <f t="shared" si="47"/>
        <v>12000</v>
      </c>
      <c r="J207" s="18"/>
      <c r="M207" s="51">
        <f t="shared" si="56"/>
        <v>0</v>
      </c>
      <c r="Q207" s="52">
        <f t="shared" si="57"/>
        <v>0</v>
      </c>
      <c r="U207" s="52">
        <f t="shared" si="58"/>
        <v>0</v>
      </c>
      <c r="Y207" s="52">
        <f t="shared" si="59"/>
        <v>0</v>
      </c>
      <c r="AB207" s="52">
        <f t="shared" si="60"/>
        <v>0</v>
      </c>
      <c r="AC207" s="39">
        <f t="shared" si="61"/>
        <v>50000</v>
      </c>
      <c r="AD207" s="56">
        <f t="shared" si="62"/>
        <v>12000</v>
      </c>
    </row>
    <row r="208" spans="1:30" s="3" customFormat="1" ht="15.6" x14ac:dyDescent="0.3">
      <c r="A208" s="2">
        <f t="shared" si="48"/>
        <v>108</v>
      </c>
      <c r="B208" s="3" t="s">
        <v>246</v>
      </c>
      <c r="E208" s="18"/>
      <c r="F208" s="18" t="s">
        <v>265</v>
      </c>
      <c r="G208" s="21">
        <v>300000</v>
      </c>
      <c r="H208" s="4">
        <v>0.1</v>
      </c>
      <c r="I208" s="12">
        <f t="shared" si="47"/>
        <v>30000</v>
      </c>
      <c r="J208" s="18"/>
      <c r="M208" s="51">
        <f t="shared" si="56"/>
        <v>0</v>
      </c>
      <c r="Q208" s="52">
        <f t="shared" si="57"/>
        <v>0</v>
      </c>
      <c r="U208" s="52">
        <f t="shared" si="58"/>
        <v>0</v>
      </c>
      <c r="Y208" s="52">
        <f t="shared" si="59"/>
        <v>0</v>
      </c>
      <c r="AB208" s="52">
        <f t="shared" si="60"/>
        <v>0</v>
      </c>
      <c r="AC208" s="39">
        <f t="shared" si="61"/>
        <v>300000</v>
      </c>
      <c r="AD208" s="56">
        <f t="shared" si="62"/>
        <v>30000</v>
      </c>
    </row>
    <row r="209" spans="1:30" s="3" customFormat="1" ht="15.6" x14ac:dyDescent="0.3">
      <c r="A209" s="2">
        <f t="shared" si="48"/>
        <v>109</v>
      </c>
      <c r="B209" s="3" t="s">
        <v>247</v>
      </c>
      <c r="E209" s="18"/>
      <c r="F209" s="18" t="s">
        <v>271</v>
      </c>
      <c r="G209" s="21">
        <v>250000</v>
      </c>
      <c r="H209" s="4">
        <v>0.5</v>
      </c>
      <c r="I209" s="12">
        <f t="shared" si="47"/>
        <v>125000</v>
      </c>
      <c r="J209" s="18"/>
      <c r="M209" s="51">
        <f t="shared" si="56"/>
        <v>0</v>
      </c>
      <c r="Q209" s="52">
        <f t="shared" si="57"/>
        <v>0</v>
      </c>
      <c r="U209" s="52">
        <f t="shared" si="58"/>
        <v>0</v>
      </c>
      <c r="Y209" s="52">
        <f t="shared" si="59"/>
        <v>0</v>
      </c>
      <c r="AB209" s="52">
        <f t="shared" si="60"/>
        <v>0</v>
      </c>
      <c r="AC209" s="39">
        <f t="shared" si="61"/>
        <v>250000</v>
      </c>
      <c r="AD209" s="56">
        <f t="shared" si="62"/>
        <v>125000</v>
      </c>
    </row>
    <row r="210" spans="1:30" s="3" customFormat="1" ht="15.6" x14ac:dyDescent="0.3">
      <c r="A210" s="2">
        <f t="shared" si="48"/>
        <v>110</v>
      </c>
      <c r="B210" s="3" t="s">
        <v>248</v>
      </c>
      <c r="E210" s="18"/>
      <c r="F210" s="18" t="s">
        <v>268</v>
      </c>
      <c r="G210" s="21">
        <v>15000</v>
      </c>
      <c r="H210" s="4">
        <v>0.35</v>
      </c>
      <c r="I210" s="12">
        <f t="shared" si="47"/>
        <v>5250</v>
      </c>
      <c r="J210" s="18"/>
      <c r="M210" s="51">
        <f t="shared" si="56"/>
        <v>0</v>
      </c>
      <c r="Q210" s="52">
        <f t="shared" si="57"/>
        <v>0</v>
      </c>
      <c r="U210" s="52">
        <f t="shared" si="58"/>
        <v>0</v>
      </c>
      <c r="Y210" s="52">
        <f t="shared" si="59"/>
        <v>0</v>
      </c>
      <c r="AB210" s="52">
        <f t="shared" si="60"/>
        <v>0</v>
      </c>
      <c r="AC210" s="39">
        <f t="shared" si="61"/>
        <v>15000</v>
      </c>
      <c r="AD210" s="56">
        <f t="shared" si="62"/>
        <v>5250</v>
      </c>
    </row>
    <row r="211" spans="1:30" s="3" customFormat="1" ht="15.6" x14ac:dyDescent="0.3">
      <c r="A211" s="2">
        <f t="shared" si="48"/>
        <v>111</v>
      </c>
      <c r="B211" s="3" t="s">
        <v>249</v>
      </c>
      <c r="E211" s="18"/>
      <c r="F211" s="18" t="s">
        <v>265</v>
      </c>
      <c r="G211" s="21">
        <v>20000</v>
      </c>
      <c r="H211" s="4">
        <v>10</v>
      </c>
      <c r="I211" s="12">
        <f t="shared" si="47"/>
        <v>200000</v>
      </c>
      <c r="J211" s="18"/>
      <c r="M211" s="51">
        <f t="shared" si="56"/>
        <v>0</v>
      </c>
      <c r="Q211" s="52">
        <f t="shared" si="57"/>
        <v>0</v>
      </c>
      <c r="U211" s="52">
        <f t="shared" si="58"/>
        <v>0</v>
      </c>
      <c r="Y211" s="52">
        <f t="shared" si="59"/>
        <v>0</v>
      </c>
      <c r="AB211" s="52">
        <f t="shared" si="60"/>
        <v>0</v>
      </c>
      <c r="AC211" s="39">
        <f t="shared" si="61"/>
        <v>20000</v>
      </c>
      <c r="AD211" s="56">
        <f t="shared" si="62"/>
        <v>200000</v>
      </c>
    </row>
    <row r="212" spans="1:30" s="3" customFormat="1" ht="15.6" x14ac:dyDescent="0.3">
      <c r="A212" s="2">
        <f t="shared" si="48"/>
        <v>112</v>
      </c>
      <c r="B212" s="3" t="s">
        <v>250</v>
      </c>
      <c r="E212" s="18"/>
      <c r="F212" s="18" t="s">
        <v>263</v>
      </c>
      <c r="G212" s="21">
        <v>15000</v>
      </c>
      <c r="H212" s="4">
        <v>1.5</v>
      </c>
      <c r="I212" s="12">
        <f t="shared" si="47"/>
        <v>22500</v>
      </c>
      <c r="J212" s="18"/>
      <c r="M212" s="51">
        <f t="shared" si="56"/>
        <v>0</v>
      </c>
      <c r="Q212" s="52">
        <f t="shared" si="57"/>
        <v>0</v>
      </c>
      <c r="U212" s="52">
        <f t="shared" si="58"/>
        <v>0</v>
      </c>
      <c r="Y212" s="52">
        <f t="shared" si="59"/>
        <v>0</v>
      </c>
      <c r="AB212" s="52">
        <f t="shared" si="60"/>
        <v>0</v>
      </c>
      <c r="AC212" s="39">
        <f t="shared" si="61"/>
        <v>15000</v>
      </c>
      <c r="AD212" s="56">
        <f t="shared" si="62"/>
        <v>22500</v>
      </c>
    </row>
    <row r="213" spans="1:30" s="3" customFormat="1" ht="15.6" x14ac:dyDescent="0.3">
      <c r="A213" s="2">
        <f t="shared" si="48"/>
        <v>113</v>
      </c>
      <c r="B213" s="3" t="s">
        <v>251</v>
      </c>
      <c r="E213" s="18"/>
      <c r="F213" s="18" t="s">
        <v>266</v>
      </c>
      <c r="G213" s="21">
        <v>10000</v>
      </c>
      <c r="H213" s="4">
        <v>2</v>
      </c>
      <c r="I213" s="12">
        <f t="shared" si="47"/>
        <v>20000</v>
      </c>
      <c r="J213" s="18"/>
      <c r="M213" s="51">
        <f t="shared" si="56"/>
        <v>0</v>
      </c>
      <c r="Q213" s="52">
        <f t="shared" si="57"/>
        <v>0</v>
      </c>
      <c r="U213" s="52">
        <f t="shared" si="58"/>
        <v>0</v>
      </c>
      <c r="Y213" s="52">
        <f t="shared" si="59"/>
        <v>0</v>
      </c>
      <c r="AB213" s="52">
        <f t="shared" si="60"/>
        <v>0</v>
      </c>
      <c r="AC213" s="39">
        <f t="shared" si="61"/>
        <v>10000</v>
      </c>
      <c r="AD213" s="56">
        <f t="shared" si="62"/>
        <v>20000</v>
      </c>
    </row>
    <row r="214" spans="1:30" s="3" customFormat="1" ht="15.6" x14ac:dyDescent="0.3">
      <c r="A214" s="2">
        <f t="shared" si="48"/>
        <v>114</v>
      </c>
      <c r="B214" s="3" t="s">
        <v>252</v>
      </c>
      <c r="E214" s="18"/>
      <c r="F214" s="18" t="s">
        <v>135</v>
      </c>
      <c r="G214" s="21">
        <v>1000000</v>
      </c>
      <c r="H214" s="4">
        <v>0.3</v>
      </c>
      <c r="I214" s="12">
        <f t="shared" si="47"/>
        <v>300000</v>
      </c>
      <c r="J214" s="18"/>
      <c r="M214" s="51">
        <f t="shared" si="56"/>
        <v>0</v>
      </c>
      <c r="Q214" s="52">
        <f t="shared" si="57"/>
        <v>0</v>
      </c>
      <c r="U214" s="52">
        <f t="shared" si="58"/>
        <v>0</v>
      </c>
      <c r="Y214" s="52">
        <f t="shared" si="59"/>
        <v>0</v>
      </c>
      <c r="AB214" s="52">
        <f t="shared" si="60"/>
        <v>0</v>
      </c>
      <c r="AC214" s="39">
        <f t="shared" si="61"/>
        <v>1000000</v>
      </c>
      <c r="AD214" s="56">
        <f t="shared" si="62"/>
        <v>300000</v>
      </c>
    </row>
    <row r="215" spans="1:30" s="3" customFormat="1" ht="15.6" x14ac:dyDescent="0.3">
      <c r="A215" s="2">
        <f t="shared" si="48"/>
        <v>115</v>
      </c>
      <c r="B215" s="3" t="s">
        <v>253</v>
      </c>
      <c r="E215" s="18"/>
      <c r="F215" s="18" t="s">
        <v>271</v>
      </c>
      <c r="G215" s="21">
        <v>5000000</v>
      </c>
      <c r="H215" s="4">
        <v>0.15</v>
      </c>
      <c r="I215" s="12">
        <f t="shared" si="47"/>
        <v>750000</v>
      </c>
      <c r="J215" s="18"/>
      <c r="M215" s="51">
        <f t="shared" si="56"/>
        <v>0</v>
      </c>
      <c r="Q215" s="52">
        <f t="shared" si="57"/>
        <v>0</v>
      </c>
      <c r="U215" s="52">
        <f t="shared" si="58"/>
        <v>0</v>
      </c>
      <c r="Y215" s="52">
        <f t="shared" si="59"/>
        <v>0</v>
      </c>
      <c r="AB215" s="52">
        <f t="shared" si="60"/>
        <v>0</v>
      </c>
      <c r="AC215" s="39">
        <f t="shared" si="61"/>
        <v>5000000</v>
      </c>
      <c r="AD215" s="56">
        <f t="shared" si="62"/>
        <v>750000</v>
      </c>
    </row>
    <row r="216" spans="1:30" s="3" customFormat="1" ht="15.6" x14ac:dyDescent="0.3">
      <c r="A216" s="2">
        <f t="shared" si="48"/>
        <v>116</v>
      </c>
      <c r="B216" s="3" t="s">
        <v>254</v>
      </c>
      <c r="E216" s="18"/>
      <c r="F216" s="18" t="s">
        <v>271</v>
      </c>
      <c r="G216" s="21">
        <v>5000000</v>
      </c>
      <c r="H216" s="4">
        <v>0.15</v>
      </c>
      <c r="I216" s="12">
        <f t="shared" si="47"/>
        <v>750000</v>
      </c>
      <c r="J216" s="18"/>
      <c r="M216" s="51">
        <f t="shared" si="56"/>
        <v>0</v>
      </c>
      <c r="Q216" s="52">
        <f t="shared" si="57"/>
        <v>0</v>
      </c>
      <c r="U216" s="52">
        <f t="shared" si="58"/>
        <v>0</v>
      </c>
      <c r="Y216" s="52">
        <f t="shared" si="59"/>
        <v>0</v>
      </c>
      <c r="AB216" s="52">
        <f t="shared" si="60"/>
        <v>0</v>
      </c>
      <c r="AC216" s="39">
        <f t="shared" si="61"/>
        <v>5000000</v>
      </c>
      <c r="AD216" s="56">
        <f t="shared" si="62"/>
        <v>750000</v>
      </c>
    </row>
    <row r="217" spans="1:30" s="3" customFormat="1" ht="15.6" x14ac:dyDescent="0.3">
      <c r="A217" s="2">
        <f t="shared" si="48"/>
        <v>117</v>
      </c>
      <c r="B217" s="3" t="s">
        <v>255</v>
      </c>
      <c r="E217" s="18"/>
      <c r="F217" s="18" t="s">
        <v>267</v>
      </c>
      <c r="G217" s="21">
        <v>80000</v>
      </c>
      <c r="H217" s="4">
        <v>0.65</v>
      </c>
      <c r="I217" s="12">
        <f t="shared" si="47"/>
        <v>52000</v>
      </c>
      <c r="J217" s="18"/>
      <c r="M217" s="51">
        <f t="shared" si="56"/>
        <v>0</v>
      </c>
      <c r="Q217" s="52">
        <f t="shared" si="57"/>
        <v>0</v>
      </c>
      <c r="U217" s="52">
        <f t="shared" si="58"/>
        <v>0</v>
      </c>
      <c r="Y217" s="52">
        <f t="shared" si="59"/>
        <v>0</v>
      </c>
      <c r="AB217" s="52">
        <f t="shared" si="60"/>
        <v>0</v>
      </c>
      <c r="AC217" s="39">
        <f t="shared" si="61"/>
        <v>80000</v>
      </c>
      <c r="AD217" s="56">
        <f t="shared" si="62"/>
        <v>52000</v>
      </c>
    </row>
    <row r="218" spans="1:30" s="3" customFormat="1" ht="15.6" x14ac:dyDescent="0.3">
      <c r="A218" s="2">
        <f t="shared" si="48"/>
        <v>118</v>
      </c>
      <c r="B218" s="3" t="s">
        <v>256</v>
      </c>
      <c r="E218" s="18"/>
      <c r="F218" s="18" t="s">
        <v>263</v>
      </c>
      <c r="G218" s="21">
        <v>50000</v>
      </c>
      <c r="H218" s="4">
        <v>2</v>
      </c>
      <c r="I218" s="12">
        <f t="shared" si="47"/>
        <v>100000</v>
      </c>
      <c r="J218" s="18"/>
      <c r="M218" s="51">
        <f t="shared" si="56"/>
        <v>0</v>
      </c>
      <c r="Q218" s="52">
        <f t="shared" si="57"/>
        <v>0</v>
      </c>
      <c r="U218" s="52">
        <f t="shared" si="58"/>
        <v>0</v>
      </c>
      <c r="Y218" s="52">
        <f t="shared" si="59"/>
        <v>0</v>
      </c>
      <c r="AB218" s="52">
        <f t="shared" si="60"/>
        <v>0</v>
      </c>
      <c r="AC218" s="39">
        <f t="shared" si="61"/>
        <v>50000</v>
      </c>
      <c r="AD218" s="56">
        <f t="shared" si="62"/>
        <v>100000</v>
      </c>
    </row>
    <row r="219" spans="1:30" s="3" customFormat="1" ht="15.6" x14ac:dyDescent="0.3">
      <c r="A219" s="2">
        <f t="shared" si="48"/>
        <v>119</v>
      </c>
      <c r="B219" s="3" t="s">
        <v>257</v>
      </c>
      <c r="E219" s="18"/>
      <c r="F219" s="18" t="s">
        <v>264</v>
      </c>
      <c r="G219" s="21">
        <v>1000000</v>
      </c>
      <c r="H219" s="4">
        <v>0.2</v>
      </c>
      <c r="I219" s="12">
        <f t="shared" si="47"/>
        <v>200000</v>
      </c>
      <c r="J219" s="18"/>
      <c r="M219" s="51">
        <f t="shared" si="56"/>
        <v>0</v>
      </c>
      <c r="Q219" s="52">
        <f t="shared" si="57"/>
        <v>0</v>
      </c>
      <c r="U219" s="52">
        <f t="shared" si="58"/>
        <v>0</v>
      </c>
      <c r="Y219" s="52">
        <f t="shared" si="59"/>
        <v>0</v>
      </c>
      <c r="AB219" s="52">
        <f t="shared" si="60"/>
        <v>0</v>
      </c>
      <c r="AC219" s="39">
        <f t="shared" si="61"/>
        <v>1000000</v>
      </c>
      <c r="AD219" s="56">
        <f t="shared" si="62"/>
        <v>200000</v>
      </c>
    </row>
    <row r="220" spans="1:30" s="3" customFormat="1" ht="15.6" x14ac:dyDescent="0.3">
      <c r="A220" s="2">
        <f t="shared" si="48"/>
        <v>120</v>
      </c>
      <c r="B220" s="3" t="s">
        <v>258</v>
      </c>
      <c r="E220" s="18"/>
      <c r="F220" s="18" t="s">
        <v>263</v>
      </c>
      <c r="G220" s="21">
        <v>250000</v>
      </c>
      <c r="H220" s="4">
        <v>1.2</v>
      </c>
      <c r="I220" s="12">
        <f t="shared" si="47"/>
        <v>300000</v>
      </c>
      <c r="J220" s="18"/>
      <c r="M220" s="51">
        <f t="shared" si="56"/>
        <v>0</v>
      </c>
      <c r="Q220" s="52">
        <f t="shared" si="57"/>
        <v>0</v>
      </c>
      <c r="U220" s="52">
        <f t="shared" si="58"/>
        <v>0</v>
      </c>
      <c r="Y220" s="52">
        <f t="shared" si="59"/>
        <v>0</v>
      </c>
      <c r="AB220" s="52">
        <f t="shared" si="60"/>
        <v>0</v>
      </c>
      <c r="AC220" s="39">
        <f t="shared" si="61"/>
        <v>250000</v>
      </c>
      <c r="AD220" s="56">
        <f t="shared" si="62"/>
        <v>300000</v>
      </c>
    </row>
    <row r="221" spans="1:30" s="3" customFormat="1" ht="15.6" x14ac:dyDescent="0.3">
      <c r="A221" s="2">
        <f t="shared" si="48"/>
        <v>121</v>
      </c>
      <c r="B221" s="3" t="s">
        <v>259</v>
      </c>
      <c r="E221" s="18"/>
      <c r="F221" s="18" t="s">
        <v>266</v>
      </c>
      <c r="G221" s="21">
        <v>5000</v>
      </c>
      <c r="H221" s="4">
        <v>1</v>
      </c>
      <c r="I221" s="12">
        <f t="shared" si="47"/>
        <v>5000</v>
      </c>
      <c r="J221" s="18"/>
      <c r="M221" s="51">
        <f t="shared" si="56"/>
        <v>0</v>
      </c>
      <c r="Q221" s="52">
        <f t="shared" si="57"/>
        <v>0</v>
      </c>
      <c r="U221" s="52">
        <f t="shared" si="58"/>
        <v>0</v>
      </c>
      <c r="Y221" s="52">
        <f t="shared" si="59"/>
        <v>0</v>
      </c>
      <c r="AB221" s="52">
        <f t="shared" si="60"/>
        <v>0</v>
      </c>
      <c r="AC221" s="39">
        <f t="shared" si="61"/>
        <v>5000</v>
      </c>
      <c r="AD221" s="56">
        <f t="shared" si="62"/>
        <v>5000</v>
      </c>
    </row>
    <row r="222" spans="1:30" s="3" customFormat="1" ht="15.6" x14ac:dyDescent="0.3">
      <c r="A222" s="2">
        <f t="shared" si="48"/>
        <v>122</v>
      </c>
      <c r="B222" s="3" t="s">
        <v>260</v>
      </c>
      <c r="E222" s="18"/>
      <c r="F222" s="18" t="s">
        <v>263</v>
      </c>
      <c r="G222" s="21">
        <v>100000</v>
      </c>
      <c r="H222" s="4">
        <v>1.1000000000000001</v>
      </c>
      <c r="I222" s="12">
        <f t="shared" si="47"/>
        <v>110000.00000000001</v>
      </c>
      <c r="J222" s="18"/>
      <c r="M222" s="51">
        <f t="shared" si="56"/>
        <v>0</v>
      </c>
      <c r="Q222" s="52">
        <f t="shared" si="57"/>
        <v>0</v>
      </c>
      <c r="U222" s="52">
        <f t="shared" si="58"/>
        <v>0</v>
      </c>
      <c r="Y222" s="52">
        <f t="shared" si="59"/>
        <v>0</v>
      </c>
      <c r="AB222" s="52">
        <f t="shared" si="60"/>
        <v>0</v>
      </c>
      <c r="AC222" s="39">
        <f t="shared" si="61"/>
        <v>100000</v>
      </c>
      <c r="AD222" s="56">
        <f t="shared" si="62"/>
        <v>110000.00000000001</v>
      </c>
    </row>
    <row r="223" spans="1:30" s="3" customFormat="1" ht="15.6" x14ac:dyDescent="0.3">
      <c r="A223" s="2">
        <f t="shared" si="48"/>
        <v>123</v>
      </c>
      <c r="B223" s="3" t="s">
        <v>261</v>
      </c>
      <c r="E223" s="18"/>
      <c r="F223" s="18" t="s">
        <v>265</v>
      </c>
      <c r="G223" s="21">
        <v>5000</v>
      </c>
      <c r="H223" s="4">
        <v>2</v>
      </c>
      <c r="I223" s="12">
        <f t="shared" si="47"/>
        <v>10000</v>
      </c>
      <c r="J223" s="18"/>
      <c r="M223" s="51">
        <f t="shared" si="56"/>
        <v>0</v>
      </c>
      <c r="Q223" s="52">
        <f t="shared" si="57"/>
        <v>0</v>
      </c>
      <c r="U223" s="52">
        <f t="shared" si="58"/>
        <v>0</v>
      </c>
      <c r="Y223" s="52">
        <f t="shared" si="59"/>
        <v>0</v>
      </c>
      <c r="AB223" s="52">
        <f t="shared" si="60"/>
        <v>0</v>
      </c>
      <c r="AC223" s="39">
        <f t="shared" si="61"/>
        <v>5000</v>
      </c>
      <c r="AD223" s="56">
        <f t="shared" si="62"/>
        <v>10000</v>
      </c>
    </row>
    <row r="224" spans="1:30" s="3" customFormat="1" ht="15.6" x14ac:dyDescent="0.3">
      <c r="A224" s="2">
        <f t="shared" si="48"/>
        <v>124</v>
      </c>
      <c r="B224" s="3" t="s">
        <v>262</v>
      </c>
      <c r="E224" s="18"/>
      <c r="F224" s="18" t="s">
        <v>265</v>
      </c>
      <c r="G224" s="21">
        <v>10000</v>
      </c>
      <c r="H224" s="4">
        <v>1.5</v>
      </c>
      <c r="I224" s="12">
        <f t="shared" si="47"/>
        <v>15000</v>
      </c>
      <c r="J224" s="18"/>
      <c r="M224" s="51">
        <f t="shared" si="56"/>
        <v>0</v>
      </c>
      <c r="Q224" s="52">
        <f t="shared" si="57"/>
        <v>0</v>
      </c>
      <c r="U224" s="52">
        <f t="shared" si="58"/>
        <v>0</v>
      </c>
      <c r="Y224" s="52">
        <f t="shared" si="59"/>
        <v>0</v>
      </c>
      <c r="AB224" s="52">
        <f t="shared" si="60"/>
        <v>0</v>
      </c>
      <c r="AC224" s="39">
        <f t="shared" si="61"/>
        <v>10000</v>
      </c>
      <c r="AD224" s="56">
        <f t="shared" si="62"/>
        <v>15000</v>
      </c>
    </row>
    <row r="225" spans="1:30" s="9" customFormat="1" ht="15.6" x14ac:dyDescent="0.3">
      <c r="A225" s="2"/>
      <c r="B225" s="6" t="s">
        <v>14</v>
      </c>
      <c r="C225" s="3"/>
      <c r="D225" s="3"/>
      <c r="E225" s="65"/>
      <c r="F225" s="66"/>
      <c r="G225" s="66"/>
      <c r="H225" s="67"/>
      <c r="I225" s="57">
        <f>SUM(I101:I224)</f>
        <v>44980250</v>
      </c>
      <c r="J225" s="18"/>
      <c r="M225" s="53"/>
      <c r="Q225" s="52"/>
      <c r="U225" s="53"/>
      <c r="Y225" s="53"/>
      <c r="AB225" s="53"/>
      <c r="AC225" s="57">
        <f>SUM(AC101:AC224)</f>
        <v>68677300</v>
      </c>
      <c r="AD225" s="57">
        <f>SUM(AD101:AD224)</f>
        <v>44980250</v>
      </c>
    </row>
    <row r="226" spans="1:30" s="9" customFormat="1" ht="15.6" x14ac:dyDescent="0.3">
      <c r="A226" s="2"/>
      <c r="B226" s="6" t="s">
        <v>15</v>
      </c>
      <c r="C226" s="3"/>
      <c r="D226" s="3"/>
      <c r="E226" s="18"/>
      <c r="F226" s="18"/>
      <c r="G226" s="21"/>
      <c r="H226" s="4"/>
      <c r="I226" s="8">
        <f>I225+I98</f>
        <v>49821512.5</v>
      </c>
      <c r="J226" s="18"/>
      <c r="M226" s="53"/>
      <c r="Q226" s="53"/>
      <c r="U226" s="53"/>
      <c r="Y226" s="53"/>
      <c r="AB226" s="53"/>
      <c r="AC226" s="58">
        <f>SUM(AC98+AC225)</f>
        <v>68695690</v>
      </c>
      <c r="AD226" s="58">
        <f>SUM(AD98+AD225)</f>
        <v>49821512.5</v>
      </c>
    </row>
    <row r="228" spans="1:30" x14ac:dyDescent="0.3">
      <c r="B228" s="35" t="s">
        <v>21</v>
      </c>
      <c r="C228" s="35"/>
      <c r="D228" s="35"/>
      <c r="E228" s="35"/>
      <c r="F228" s="35"/>
      <c r="G228" s="35"/>
      <c r="H228" s="35"/>
      <c r="I228" s="35" t="s">
        <v>22</v>
      </c>
    </row>
    <row r="232" spans="1:30" x14ac:dyDescent="0.3">
      <c r="B232" s="35" t="s">
        <v>23</v>
      </c>
    </row>
    <row r="233" spans="1:30" ht="22.8" x14ac:dyDescent="0.8">
      <c r="I233" s="37" t="s">
        <v>41</v>
      </c>
    </row>
  </sheetData>
  <mergeCells count="13">
    <mergeCell ref="AC5:AD5"/>
    <mergeCell ref="J5:J6"/>
    <mergeCell ref="F5:F6"/>
    <mergeCell ref="A5:A6"/>
    <mergeCell ref="B5:B6"/>
    <mergeCell ref="C5:C6"/>
    <mergeCell ref="D5:D6"/>
    <mergeCell ref="E5:E6"/>
    <mergeCell ref="A98:F98"/>
    <mergeCell ref="E225:H225"/>
    <mergeCell ref="G5:G6"/>
    <mergeCell ref="H5:H6"/>
    <mergeCell ref="I5:I6"/>
  </mergeCells>
  <pageMargins left="0.2" right="0.2" top="0.25" bottom="0.25" header="0.3" footer="0.3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2026-10-25T02:24:06Z</dcterms:modified>
</cp:coreProperties>
</file>