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46B341E8-669D-4673-ADD1-B3A34069BC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Sheet1!$A$1:$R$104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1" i="1" l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Q93" i="1"/>
  <c r="R93" i="1" s="1"/>
  <c r="N93" i="1"/>
  <c r="L93" i="1"/>
  <c r="J93" i="1"/>
  <c r="H93" i="1"/>
  <c r="Q92" i="1"/>
  <c r="R92" i="1" s="1"/>
  <c r="N92" i="1"/>
  <c r="L92" i="1"/>
  <c r="J92" i="1"/>
  <c r="H92" i="1"/>
  <c r="Q91" i="1"/>
  <c r="R91" i="1" s="1"/>
  <c r="N91" i="1"/>
  <c r="L91" i="1"/>
  <c r="J91" i="1"/>
  <c r="H91" i="1"/>
  <c r="Q48" i="1" l="1"/>
  <c r="R48" i="1" s="1"/>
  <c r="N48" i="1"/>
  <c r="L48" i="1"/>
  <c r="J48" i="1"/>
  <c r="H48" i="1"/>
  <c r="F48" i="1"/>
  <c r="Q47" i="1"/>
  <c r="R47" i="1" s="1"/>
  <c r="N47" i="1"/>
  <c r="L47" i="1"/>
  <c r="J47" i="1"/>
  <c r="H47" i="1"/>
  <c r="F47" i="1"/>
  <c r="Q46" i="1"/>
  <c r="R46" i="1" s="1"/>
  <c r="N46" i="1"/>
  <c r="L46" i="1"/>
  <c r="J46" i="1"/>
  <c r="H46" i="1"/>
  <c r="F46" i="1"/>
  <c r="Q45" i="1"/>
  <c r="R45" i="1" s="1"/>
  <c r="N45" i="1"/>
  <c r="L45" i="1"/>
  <c r="J45" i="1"/>
  <c r="H45" i="1"/>
  <c r="F45" i="1"/>
  <c r="Q44" i="1"/>
  <c r="R44" i="1" s="1"/>
  <c r="N44" i="1"/>
  <c r="L44" i="1"/>
  <c r="J44" i="1"/>
  <c r="H44" i="1"/>
  <c r="F44" i="1"/>
  <c r="Q43" i="1"/>
  <c r="R43" i="1" s="1"/>
  <c r="N43" i="1"/>
  <c r="L43" i="1"/>
  <c r="J43" i="1"/>
  <c r="H43" i="1"/>
  <c r="F43" i="1"/>
  <c r="Q42" i="1"/>
  <c r="R42" i="1" s="1"/>
  <c r="N42" i="1"/>
  <c r="L42" i="1"/>
  <c r="J42" i="1"/>
  <c r="H42" i="1"/>
  <c r="F42" i="1"/>
  <c r="Q41" i="1"/>
  <c r="R41" i="1" s="1"/>
  <c r="N41" i="1"/>
  <c r="L41" i="1"/>
  <c r="J41" i="1"/>
  <c r="H41" i="1"/>
  <c r="F41" i="1"/>
  <c r="Q40" i="1"/>
  <c r="R40" i="1" s="1"/>
  <c r="N40" i="1"/>
  <c r="L40" i="1"/>
  <c r="J40" i="1"/>
  <c r="H40" i="1"/>
  <c r="F40" i="1"/>
  <c r="Q39" i="1"/>
  <c r="R39" i="1" s="1"/>
  <c r="N39" i="1"/>
  <c r="L39" i="1"/>
  <c r="J39" i="1"/>
  <c r="H39" i="1"/>
  <c r="F39" i="1"/>
  <c r="Q38" i="1"/>
  <c r="R38" i="1" s="1"/>
  <c r="N38" i="1"/>
  <c r="L38" i="1"/>
  <c r="J38" i="1"/>
  <c r="H38" i="1"/>
  <c r="F38" i="1"/>
  <c r="Q37" i="1"/>
  <c r="R37" i="1" s="1"/>
  <c r="N37" i="1"/>
  <c r="L37" i="1"/>
  <c r="J37" i="1"/>
  <c r="H37" i="1"/>
  <c r="F37" i="1"/>
  <c r="Q36" i="1"/>
  <c r="R36" i="1" s="1"/>
  <c r="N36" i="1"/>
  <c r="L36" i="1"/>
  <c r="J36" i="1"/>
  <c r="H36" i="1"/>
  <c r="F36" i="1"/>
  <c r="Q35" i="1"/>
  <c r="R35" i="1" s="1"/>
  <c r="N35" i="1"/>
  <c r="L35" i="1"/>
  <c r="J35" i="1"/>
  <c r="H35" i="1"/>
  <c r="F35" i="1"/>
  <c r="Q34" i="1"/>
  <c r="R34" i="1" s="1"/>
  <c r="N34" i="1"/>
  <c r="L34" i="1"/>
  <c r="J34" i="1"/>
  <c r="H34" i="1"/>
  <c r="F34" i="1"/>
  <c r="Q33" i="1"/>
  <c r="R33" i="1" s="1"/>
  <c r="N33" i="1"/>
  <c r="L33" i="1"/>
  <c r="J33" i="1"/>
  <c r="H33" i="1"/>
  <c r="F33" i="1"/>
  <c r="Q32" i="1"/>
  <c r="R32" i="1" s="1"/>
  <c r="N32" i="1"/>
  <c r="L32" i="1"/>
  <c r="J32" i="1"/>
  <c r="H32" i="1"/>
  <c r="F32" i="1"/>
  <c r="Q31" i="1"/>
  <c r="R31" i="1" s="1"/>
  <c r="N31" i="1"/>
  <c r="L31" i="1"/>
  <c r="J31" i="1"/>
  <c r="H31" i="1"/>
  <c r="F31" i="1"/>
  <c r="Q30" i="1"/>
  <c r="R30" i="1" s="1"/>
  <c r="N30" i="1"/>
  <c r="L30" i="1"/>
  <c r="J30" i="1"/>
  <c r="H30" i="1"/>
  <c r="F30" i="1"/>
  <c r="Q29" i="1"/>
  <c r="R29" i="1" s="1"/>
  <c r="N29" i="1"/>
  <c r="L29" i="1"/>
  <c r="J29" i="1"/>
  <c r="H29" i="1"/>
  <c r="F29" i="1"/>
  <c r="Q28" i="1"/>
  <c r="R28" i="1" s="1"/>
  <c r="N28" i="1"/>
  <c r="L28" i="1"/>
  <c r="J28" i="1"/>
  <c r="H28" i="1"/>
  <c r="F28" i="1"/>
  <c r="Q27" i="1"/>
  <c r="R27" i="1" s="1"/>
  <c r="N27" i="1"/>
  <c r="L27" i="1"/>
  <c r="J27" i="1"/>
  <c r="H27" i="1"/>
  <c r="F27" i="1"/>
  <c r="Q26" i="1"/>
  <c r="R26" i="1" s="1"/>
  <c r="N26" i="1"/>
  <c r="L26" i="1"/>
  <c r="J26" i="1"/>
  <c r="H26" i="1"/>
  <c r="F26" i="1"/>
  <c r="Q25" i="1"/>
  <c r="R25" i="1" s="1"/>
  <c r="N25" i="1"/>
  <c r="L25" i="1"/>
  <c r="J25" i="1"/>
  <c r="H25" i="1"/>
  <c r="F25" i="1"/>
  <c r="Q24" i="1"/>
  <c r="R24" i="1" s="1"/>
  <c r="N24" i="1"/>
  <c r="L24" i="1"/>
  <c r="J24" i="1"/>
  <c r="H24" i="1"/>
  <c r="F24" i="1"/>
  <c r="Q23" i="1"/>
  <c r="R23" i="1" s="1"/>
  <c r="N23" i="1"/>
  <c r="L23" i="1"/>
  <c r="J23" i="1"/>
  <c r="H23" i="1"/>
  <c r="F23" i="1"/>
  <c r="Q22" i="1"/>
  <c r="R22" i="1" s="1"/>
  <c r="N22" i="1"/>
  <c r="L22" i="1"/>
  <c r="J22" i="1"/>
  <c r="H22" i="1"/>
  <c r="F22" i="1"/>
  <c r="Q94" i="1" l="1"/>
  <c r="R94" i="1" s="1"/>
  <c r="N94" i="1"/>
  <c r="L94" i="1"/>
  <c r="J94" i="1"/>
  <c r="H94" i="1"/>
  <c r="Q90" i="1"/>
  <c r="R90" i="1" s="1"/>
  <c r="N90" i="1"/>
  <c r="L90" i="1"/>
  <c r="J90" i="1"/>
  <c r="H90" i="1"/>
  <c r="Q89" i="1"/>
  <c r="R89" i="1" s="1"/>
  <c r="N89" i="1"/>
  <c r="L89" i="1"/>
  <c r="J89" i="1"/>
  <c r="H89" i="1"/>
  <c r="Q88" i="1"/>
  <c r="R88" i="1" s="1"/>
  <c r="N88" i="1"/>
  <c r="L88" i="1"/>
  <c r="J88" i="1"/>
  <c r="H88" i="1"/>
  <c r="Q87" i="1"/>
  <c r="R87" i="1" s="1"/>
  <c r="N87" i="1"/>
  <c r="L87" i="1"/>
  <c r="J87" i="1"/>
  <c r="H87" i="1"/>
  <c r="Q82" i="1" l="1"/>
  <c r="R82" i="1" s="1"/>
  <c r="N82" i="1"/>
  <c r="L82" i="1"/>
  <c r="J82" i="1"/>
  <c r="H82" i="1"/>
  <c r="Q81" i="1"/>
  <c r="R81" i="1" s="1"/>
  <c r="N81" i="1"/>
  <c r="L81" i="1"/>
  <c r="J81" i="1"/>
  <c r="H81" i="1"/>
  <c r="Q80" i="1"/>
  <c r="R80" i="1" s="1"/>
  <c r="N80" i="1"/>
  <c r="L80" i="1"/>
  <c r="J80" i="1"/>
  <c r="H80" i="1"/>
  <c r="Q79" i="1"/>
  <c r="R79" i="1" s="1"/>
  <c r="N79" i="1"/>
  <c r="L79" i="1"/>
  <c r="J79" i="1"/>
  <c r="H79" i="1"/>
  <c r="Q78" i="1"/>
  <c r="R78" i="1" s="1"/>
  <c r="N78" i="1"/>
  <c r="L78" i="1"/>
  <c r="J78" i="1"/>
  <c r="H78" i="1"/>
  <c r="Q77" i="1"/>
  <c r="R77" i="1" s="1"/>
  <c r="N77" i="1"/>
  <c r="L77" i="1"/>
  <c r="J77" i="1"/>
  <c r="H77" i="1"/>
  <c r="Q76" i="1"/>
  <c r="R76" i="1" s="1"/>
  <c r="N76" i="1"/>
  <c r="L76" i="1"/>
  <c r="J76" i="1"/>
  <c r="H76" i="1"/>
  <c r="F95" i="1" l="1"/>
  <c r="P51" i="1"/>
  <c r="P95" i="1" s="1"/>
  <c r="Q19" i="1"/>
  <c r="Q20" i="1"/>
  <c r="R20" i="1" s="1"/>
  <c r="Q21" i="1"/>
  <c r="Q52" i="1"/>
  <c r="Q53" i="1"/>
  <c r="Q54" i="1"/>
  <c r="Q55" i="1"/>
  <c r="Q56" i="1"/>
  <c r="Q57" i="1"/>
  <c r="Q58" i="1"/>
  <c r="Q59" i="1"/>
  <c r="Q60" i="1"/>
  <c r="Q62" i="1"/>
  <c r="Q63" i="1"/>
  <c r="Q64" i="1"/>
  <c r="Q65" i="1"/>
  <c r="Q67" i="1"/>
  <c r="Q68" i="1"/>
  <c r="Q69" i="1"/>
  <c r="Q70" i="1"/>
  <c r="Q71" i="1"/>
  <c r="Q72" i="1"/>
  <c r="Q73" i="1"/>
  <c r="Q75" i="1"/>
  <c r="Q83" i="1"/>
  <c r="Q84" i="1"/>
  <c r="Q85" i="1"/>
  <c r="Q86" i="1"/>
  <c r="Q18" i="1"/>
  <c r="N66" i="1" l="1"/>
  <c r="N51" i="1"/>
  <c r="L51" i="1"/>
  <c r="J74" i="1"/>
  <c r="Q61" i="1"/>
  <c r="R61" i="1" s="1"/>
  <c r="H74" i="1"/>
  <c r="Q14" i="1"/>
  <c r="R14" i="1" s="1"/>
  <c r="Q15" i="1"/>
  <c r="R15" i="1" s="1"/>
  <c r="Q16" i="1"/>
  <c r="R16" i="1" s="1"/>
  <c r="Q17" i="1"/>
  <c r="R17" i="1" s="1"/>
  <c r="R21" i="1"/>
  <c r="R53" i="1"/>
  <c r="R54" i="1"/>
  <c r="R55" i="1"/>
  <c r="R57" i="1"/>
  <c r="R58" i="1"/>
  <c r="R59" i="1"/>
  <c r="R62" i="1"/>
  <c r="R63" i="1"/>
  <c r="R64" i="1"/>
  <c r="R67" i="1"/>
  <c r="R68" i="1"/>
  <c r="R70" i="1"/>
  <c r="R73" i="1"/>
  <c r="R75" i="1"/>
  <c r="R84" i="1"/>
  <c r="R85" i="1"/>
  <c r="R86" i="1"/>
  <c r="Q13" i="1"/>
  <c r="R18" i="1"/>
  <c r="R19" i="1"/>
  <c r="R52" i="1"/>
  <c r="R56" i="1"/>
  <c r="R60" i="1"/>
  <c r="R65" i="1"/>
  <c r="R69" i="1"/>
  <c r="R71" i="1"/>
  <c r="R72" i="1"/>
  <c r="R83" i="1"/>
  <c r="N14" i="1"/>
  <c r="N15" i="1"/>
  <c r="N16" i="1"/>
  <c r="N17" i="1"/>
  <c r="N18" i="1"/>
  <c r="N19" i="1"/>
  <c r="N20" i="1"/>
  <c r="N2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7" i="1"/>
  <c r="N68" i="1"/>
  <c r="N69" i="1"/>
  <c r="N70" i="1"/>
  <c r="N71" i="1"/>
  <c r="N72" i="1"/>
  <c r="N73" i="1"/>
  <c r="N74" i="1"/>
  <c r="N75" i="1"/>
  <c r="N83" i="1"/>
  <c r="N84" i="1"/>
  <c r="N85" i="1"/>
  <c r="N86" i="1"/>
  <c r="N13" i="1"/>
  <c r="L14" i="1"/>
  <c r="L15" i="1"/>
  <c r="L16" i="1"/>
  <c r="L17" i="1"/>
  <c r="L18" i="1"/>
  <c r="L19" i="1"/>
  <c r="L20" i="1"/>
  <c r="L2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83" i="1"/>
  <c r="L84" i="1"/>
  <c r="L85" i="1"/>
  <c r="L86" i="1"/>
  <c r="L13" i="1"/>
  <c r="J14" i="1"/>
  <c r="J15" i="1"/>
  <c r="J16" i="1"/>
  <c r="J17" i="1"/>
  <c r="J18" i="1"/>
  <c r="J19" i="1"/>
  <c r="J20" i="1"/>
  <c r="J21" i="1"/>
  <c r="J52" i="1"/>
  <c r="J53" i="1"/>
  <c r="J54" i="1"/>
  <c r="J55" i="1"/>
  <c r="J56" i="1"/>
  <c r="J57" i="1"/>
  <c r="J58" i="1"/>
  <c r="J59" i="1"/>
  <c r="J60" i="1"/>
  <c r="J62" i="1"/>
  <c r="J63" i="1"/>
  <c r="J64" i="1"/>
  <c r="J65" i="1"/>
  <c r="J67" i="1"/>
  <c r="J68" i="1"/>
  <c r="J69" i="1"/>
  <c r="J70" i="1"/>
  <c r="J71" i="1"/>
  <c r="J72" i="1"/>
  <c r="J73" i="1"/>
  <c r="J75" i="1"/>
  <c r="J83" i="1"/>
  <c r="J84" i="1"/>
  <c r="J85" i="1"/>
  <c r="J86" i="1"/>
  <c r="J13" i="1"/>
  <c r="H14" i="1"/>
  <c r="H15" i="1"/>
  <c r="H16" i="1"/>
  <c r="H17" i="1"/>
  <c r="H18" i="1"/>
  <c r="H19" i="1"/>
  <c r="H20" i="1"/>
  <c r="H21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5" i="1"/>
  <c r="H83" i="1"/>
  <c r="H84" i="1"/>
  <c r="H85" i="1"/>
  <c r="H86" i="1"/>
  <c r="H13" i="1"/>
  <c r="F14" i="1"/>
  <c r="F15" i="1"/>
  <c r="F16" i="1"/>
  <c r="F17" i="1"/>
  <c r="F18" i="1"/>
  <c r="F19" i="1"/>
  <c r="F20" i="1"/>
  <c r="F21" i="1"/>
  <c r="F13" i="1"/>
  <c r="R13" i="1" l="1"/>
  <c r="R49" i="1" s="1"/>
  <c r="Q49" i="1"/>
  <c r="H95" i="1"/>
  <c r="N95" i="1"/>
  <c r="L95" i="1"/>
  <c r="F49" i="1"/>
  <c r="J61" i="1"/>
  <c r="N49" i="1"/>
  <c r="P49" i="1" s="1"/>
  <c r="P96" i="1" s="1"/>
  <c r="Q66" i="1"/>
  <c r="R66" i="1" s="1"/>
  <c r="Q74" i="1"/>
  <c r="R74" i="1" s="1"/>
  <c r="Q51" i="1"/>
  <c r="R51" i="1" s="1"/>
  <c r="J51" i="1"/>
  <c r="H49" i="1"/>
  <c r="L49" i="1"/>
  <c r="J49" i="1"/>
  <c r="J66" i="1"/>
  <c r="J95" i="1" l="1"/>
  <c r="J96" i="1" s="1"/>
  <c r="R95" i="1"/>
  <c r="R96" i="1" s="1"/>
  <c r="H96" i="1"/>
  <c r="F96" i="1"/>
  <c r="N96" i="1"/>
  <c r="L96" i="1"/>
</calcChain>
</file>

<file path=xl/sharedStrings.xml><?xml version="1.0" encoding="utf-8"?>
<sst xmlns="http://schemas.openxmlformats.org/spreadsheetml/2006/main" count="204" uniqueCount="121">
  <si>
    <t>I-MACHINERY AND EQUIPMENT:</t>
  </si>
  <si>
    <t>II-RAW MATERIALS AND ACCESSORIES</t>
  </si>
  <si>
    <t>Total(II)</t>
  </si>
  <si>
    <t>Grand Total(I+II)</t>
  </si>
  <si>
    <t>KNITTED FABRIC</t>
  </si>
  <si>
    <t>WOVEN FABRIC</t>
  </si>
  <si>
    <t>CARE LABEL</t>
  </si>
  <si>
    <t>SIZE LABEL</t>
  </si>
  <si>
    <t>SET</t>
  </si>
  <si>
    <t>GROSS</t>
  </si>
  <si>
    <t>KG</t>
  </si>
  <si>
    <t>LACE FABRIC</t>
  </si>
  <si>
    <t>YARD</t>
  </si>
  <si>
    <t>RIB</t>
  </si>
  <si>
    <t>MAIN LABEL</t>
  </si>
  <si>
    <t>DZ</t>
  </si>
  <si>
    <t>METAL BUTTON</t>
  </si>
  <si>
    <t>PLASTIC BUTTON</t>
  </si>
  <si>
    <t>METAL ZIPPER</t>
  </si>
  <si>
    <t>HANG TAG</t>
  </si>
  <si>
    <t>PLASTIC HANGER</t>
  </si>
  <si>
    <t>HEAT TRANSFER LABEL</t>
  </si>
  <si>
    <t>PRICE TICKET</t>
  </si>
  <si>
    <t>STICKER</t>
  </si>
  <si>
    <t>COLLAR</t>
  </si>
  <si>
    <t>CUFF</t>
  </si>
  <si>
    <t>VELCRO TAPE</t>
  </si>
  <si>
    <t>TWILL TAPE</t>
  </si>
  <si>
    <t>RIBBON</t>
  </si>
  <si>
    <t>DRAW STRING</t>
  </si>
  <si>
    <t>STOPPER</t>
  </si>
  <si>
    <t>HOOK AND EYE</t>
  </si>
  <si>
    <t>SNAP</t>
  </si>
  <si>
    <t>BUCKLE</t>
  </si>
  <si>
    <t>EYELET</t>
  </si>
  <si>
    <t>SIZE CAP</t>
  </si>
  <si>
    <t>ល.រ</t>
  </si>
  <si>
    <t>រាយមុខយថាប្រភេទទំនិញ</t>
  </si>
  <si>
    <t>ឯកតា</t>
  </si>
  <si>
    <t>គិតជា</t>
  </si>
  <si>
    <t>ក.អ.ក បានអនុញ្ញាត</t>
  </si>
  <si>
    <t>បរិមាណ</t>
  </si>
  <si>
    <t>តម្លៃរាយ</t>
  </si>
  <si>
    <t>តម្លៃសរុប(USD)</t>
  </si>
  <si>
    <t>នៅសល់</t>
  </si>
  <si>
    <t>ទឹកប្រាក់</t>
  </si>
  <si>
    <t>ព្រះរាជាណាចក្រកម្ពុជា</t>
  </si>
  <si>
    <t>ជាតិ​ សាសនា ព្រះមហាក្សត្រ</t>
  </si>
  <si>
    <t>តារាងរបាយការណ៍ប្រចាំត្រីមាស</t>
  </si>
  <si>
    <t xml:space="preserve">ស្តីពីការនាំចូលដោយពន្ធជាបន្ទុករដ្ឋនូវគ្រឿងម៉ាស៊ីន សំភារៈបរិក្ខារ និង​វត្ថុធាតុដើម </t>
  </si>
  <si>
    <t>របស់ក្រុមប្រឹក្សាអភិវឌ្ឍន៍កម្ពុជា/គណៈកម្មាធិការវិនិយោគកម្ពុជា</t>
  </si>
  <si>
    <t>TOTAL I</t>
  </si>
  <si>
    <t>ទូរស័ព្ទលេខៈ012​ 818 309</t>
  </si>
  <si>
    <t xml:space="preserve">POMPOM </t>
  </si>
  <si>
    <t>M</t>
  </si>
  <si>
    <t>PCS</t>
  </si>
  <si>
    <t>នាយកក្រុមហ៊ុន</t>
  </si>
  <si>
    <t>ត្រីមាសទី១/២៥</t>
  </si>
  <si>
    <t>PU COATING FABRIC</t>
  </si>
  <si>
    <t>MESH FABRIC</t>
  </si>
  <si>
    <t xml:space="preserve">INTERLINING </t>
  </si>
  <si>
    <t>PAPER WRAPBAND</t>
  </si>
  <si>
    <t>PAPER HANGER</t>
  </si>
  <si>
    <t xml:space="preserve">PATCH </t>
  </si>
  <si>
    <t>TAG PIN</t>
  </si>
  <si>
    <t>BOX</t>
  </si>
  <si>
    <t>លោក សាន់ ប្ញទ្ធា</t>
  </si>
  <si>
    <t>MARKER PAPER</t>
  </si>
  <si>
    <t>ក្រុមហ៊ុនៈ KING SG APPAREL (CAMBODIA) CO., LTD.</t>
  </si>
  <si>
    <t>អាសយដ្នានៈ ភូមិព្រះម្លប់ ឃុំភារីមានជ័យ ស្រុកបសេដ្ឋ ខេត្តកំពង់ស្ពឺ</t>
  </si>
  <si>
    <t>កំពង់ស្ពឺ, ថ្ងៃទី    26    ខែ  មករា      ឆ្នាំ 2026</t>
  </si>
  <si>
    <t>តាមរយៈលិខិតលេខ លេខ. QIP728/2401342-2025 គ.វ.ក ចុះថ្ងៃទី24 ខែមេសា ឆ្នាំ2025</t>
  </si>
  <si>
    <t>ចាប់ពីថ្ងៃទី25 ខែមេសា ឆ្នាំ​ 2025 ដល់ថ្ងៃទី 26 ខែមករា ឆ្នាំ2026</t>
  </si>
  <si>
    <t>ONE NEEDLE SEWING MACHINE</t>
  </si>
  <si>
    <t>TWO NEEDLE SEWING MACHINE</t>
  </si>
  <si>
    <t>OVERLOCK SEWING MACHINE</t>
  </si>
  <si>
    <t>BUTTON HOLING MACHINE -HOLE + BUTTON</t>
  </si>
  <si>
    <t>CHAIN / COVER STITCH SEWING MACHINE</t>
  </si>
  <si>
    <t>SPECIAL SEWING MACHINE</t>
  </si>
  <si>
    <t>MULTI NEEDLE SEWING MACHINE</t>
  </si>
  <si>
    <t>AUTOMATIC POCKET SEWING MACHINE</t>
  </si>
  <si>
    <t>AIR COMPRESSOR (5HP-50HP)</t>
  </si>
  <si>
    <t>FABRIC INSPECTION MACHINE</t>
  </si>
  <si>
    <t>NEEDLE DETECTING MACHINE</t>
  </si>
  <si>
    <t>LIGHTING TUBE (LED)</t>
  </si>
  <si>
    <t>FLUORESCENT LAMP ( LED )</t>
  </si>
  <si>
    <t xml:space="preserve">LAB TESTING LIGHT BOX </t>
  </si>
  <si>
    <t>LAB TESTING LIGHT TUBE</t>
  </si>
  <si>
    <t>FABRIC RELAXING MACHINE</t>
  </si>
  <si>
    <t>HEAT TRANSFER MACHINE</t>
  </si>
  <si>
    <t>PIPING CUTTING MACHINE</t>
  </si>
  <si>
    <t>STEAM GENERATOR</t>
  </si>
  <si>
    <t>VACUUM IRONING TABLE</t>
  </si>
  <si>
    <t>FABRIC CUTTER MACHINE</t>
  </si>
  <si>
    <t>AUTOMATIC CUTTING MACHINE</t>
  </si>
  <si>
    <t>EYELET ATTACHING MACHINE</t>
  </si>
  <si>
    <t>FORKLIFT (25 TONS)</t>
  </si>
  <si>
    <t>THREAD SUCKING MACHINE</t>
  </si>
  <si>
    <t>FUSING MACHINE</t>
  </si>
  <si>
    <t>BARTACKING MACHINE</t>
  </si>
  <si>
    <t>MANNEQUIN</t>
  </si>
  <si>
    <t>MAKER MACHINE</t>
  </si>
  <si>
    <t>WAREHOUSE PALLET RACK</t>
  </si>
  <si>
    <t>CUTTING TABLE</t>
  </si>
  <si>
    <t>SCISSORS</t>
  </si>
  <si>
    <t>ELASTIC MACHINE</t>
  </si>
  <si>
    <t>AIR STORAGE TANK 50HP</t>
  </si>
  <si>
    <t>AIR DRYER  50HP</t>
  </si>
  <si>
    <t>DIESEL GENERATOR 625KVA/500KW</t>
  </si>
  <si>
    <t>NYLON ZIPPER</t>
  </si>
  <si>
    <t>TRANSPARENCE TAPE</t>
  </si>
  <si>
    <t>POLY BAG</t>
  </si>
  <si>
    <t>HANGER POLYBAG</t>
  </si>
  <si>
    <t>PRINTED LOGO TAPE</t>
  </si>
  <si>
    <t>ELASTIC BAND</t>
  </si>
  <si>
    <t>DYELOT LABEL</t>
  </si>
  <si>
    <t>OVERRIDER TAG</t>
  </si>
  <si>
    <t>ត្រីមាសទី២/២៥</t>
  </si>
  <si>
    <t>ត្រីមាសទី៣/២៥</t>
  </si>
  <si>
    <t>ត្រីមាសទី៤/២៥</t>
  </si>
  <si>
    <t>ត្រីមាសទី១/២៦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</si>
</sst>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Khmer OS"/>
    </font>
    <font>
      <sz val="18"/>
      <name val="Khmer OS Muol Light"/>
    </font>
    <font>
      <sz val="16"/>
      <name val="Khmer OS Muol Light"/>
    </font>
    <font>
      <sz val="16"/>
      <name val="Khmer OS Battambang"/>
    </font>
    <font>
      <b/>
      <sz val="16"/>
      <name val="Khmer OS Battambang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name val="Khmer OS Battambang"/>
    </font>
    <font>
      <sz val="13"/>
      <color theme="1"/>
      <name val="Times New Roman"/>
      <family val="1"/>
    </font>
    <font>
      <b/>
      <sz val="11"/>
      <color theme="1"/>
      <name val="Khmer Mool"/>
    </font>
    <font>
      <b/>
      <sz val="18"/>
      <name val="Khmer Mool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43" fontId="2" fillId="0" borderId="0" xfId="1" applyFont="1"/>
    <xf numFmtId="43" fontId="0" fillId="0" borderId="0" xfId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2" borderId="0" xfId="0" applyFont="1" applyFill="1"/>
    <xf numFmtId="43" fontId="9" fillId="2" borderId="0" xfId="1" applyFont="1" applyFill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4" fontId="9" fillId="0" borderId="1" xfId="2" applyFont="1" applyBorder="1"/>
    <xf numFmtId="4" fontId="9" fillId="0" borderId="1" xfId="0" applyNumberFormat="1" applyFont="1" applyBorder="1"/>
    <xf numFmtId="44" fontId="9" fillId="0" borderId="1" xfId="0" applyNumberFormat="1" applyFont="1" applyBorder="1"/>
    <xf numFmtId="43" fontId="9" fillId="0" borderId="1" xfId="1" applyFont="1" applyBorder="1"/>
    <xf numFmtId="44" fontId="9" fillId="0" borderId="1" xfId="2" applyFont="1" applyFill="1" applyBorder="1"/>
    <xf numFmtId="43" fontId="9" fillId="0" borderId="1" xfId="1" applyFont="1" applyFill="1" applyBorder="1"/>
    <xf numFmtId="0" fontId="8" fillId="3" borderId="1" xfId="0" applyFont="1" applyFill="1" applyBorder="1" applyAlignment="1">
      <alignment horizontal="center"/>
    </xf>
    <xf numFmtId="44" fontId="8" fillId="3" borderId="1" xfId="2" applyFont="1" applyFill="1" applyBorder="1"/>
    <xf numFmtId="4" fontId="8" fillId="3" borderId="1" xfId="0" applyNumberFormat="1" applyFont="1" applyFill="1" applyBorder="1"/>
    <xf numFmtId="0" fontId="8" fillId="3" borderId="1" xfId="0" applyFont="1" applyFill="1" applyBorder="1"/>
    <xf numFmtId="44" fontId="8" fillId="3" borderId="1" xfId="0" applyNumberFormat="1" applyFont="1" applyFill="1" applyBorder="1"/>
    <xf numFmtId="43" fontId="8" fillId="3" borderId="1" xfId="1" applyFont="1" applyFill="1" applyBorder="1"/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44" fontId="9" fillId="2" borderId="1" xfId="2" applyFont="1" applyFill="1" applyBorder="1"/>
    <xf numFmtId="4" fontId="9" fillId="2" borderId="1" xfId="0" applyNumberFormat="1" applyFont="1" applyFill="1" applyBorder="1"/>
    <xf numFmtId="43" fontId="9" fillId="2" borderId="1" xfId="1" applyFont="1" applyFill="1" applyBorder="1"/>
    <xf numFmtId="164" fontId="9" fillId="0" borderId="1" xfId="1" applyNumberFormat="1" applyFont="1" applyFill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4" fontId="10" fillId="0" borderId="1" xfId="0" applyNumberFormat="1" applyFont="1" applyBorder="1"/>
    <xf numFmtId="43" fontId="10" fillId="0" borderId="1" xfId="1" applyFont="1" applyBorder="1"/>
    <xf numFmtId="0" fontId="10" fillId="0" borderId="1" xfId="0" applyFont="1" applyBorder="1"/>
    <xf numFmtId="4" fontId="13" fillId="0" borderId="1" xfId="0" applyNumberFormat="1" applyFont="1" applyBorder="1"/>
    <xf numFmtId="0" fontId="14" fillId="0" borderId="0" xfId="0" applyFont="1"/>
    <xf numFmtId="0" fontId="8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164" fontId="9" fillId="5" borderId="1" xfId="1" applyNumberFormat="1" applyFont="1" applyFill="1" applyBorder="1" applyAlignment="1">
      <alignment horizontal="center"/>
    </xf>
    <xf numFmtId="44" fontId="9" fillId="5" borderId="1" xfId="2" applyFont="1" applyFill="1" applyBorder="1"/>
    <xf numFmtId="43" fontId="8" fillId="5" borderId="1" xfId="0" applyNumberFormat="1" applyFont="1" applyFill="1" applyBorder="1"/>
    <xf numFmtId="4" fontId="10" fillId="5" borderId="1" xfId="0" applyNumberFormat="1" applyFont="1" applyFill="1" applyBorder="1"/>
    <xf numFmtId="0" fontId="10" fillId="5" borderId="1" xfId="0" applyFont="1" applyFill="1" applyBorder="1"/>
    <xf numFmtId="43" fontId="10" fillId="5" borderId="1" xfId="1" applyFont="1" applyFill="1" applyBorder="1"/>
    <xf numFmtId="0" fontId="8" fillId="4" borderId="1" xfId="0" applyFont="1" applyFill="1" applyBorder="1" applyAlignment="1">
      <alignment horizontal="center" vertical="center"/>
    </xf>
    <xf numFmtId="164" fontId="8" fillId="4" borderId="1" xfId="1" applyNumberFormat="1" applyFont="1" applyFill="1" applyBorder="1" applyAlignment="1">
      <alignment horizontal="center"/>
    </xf>
    <xf numFmtId="44" fontId="8" fillId="4" borderId="1" xfId="2" applyFont="1" applyFill="1" applyBorder="1"/>
    <xf numFmtId="164" fontId="8" fillId="4" borderId="1" xfId="0" applyNumberFormat="1" applyFont="1" applyFill="1" applyBorder="1"/>
    <xf numFmtId="43" fontId="8" fillId="4" borderId="1" xfId="1" applyFont="1" applyFill="1" applyBorder="1"/>
    <xf numFmtId="4" fontId="11" fillId="4" borderId="1" xfId="0" applyNumberFormat="1" applyFont="1" applyFill="1" applyBorder="1"/>
    <xf numFmtId="0" fontId="11" fillId="4" borderId="1" xfId="0" applyFont="1" applyFill="1" applyBorder="1"/>
    <xf numFmtId="44" fontId="11" fillId="4" borderId="1" xfId="0" applyNumberFormat="1" applyFont="1" applyFill="1" applyBorder="1"/>
    <xf numFmtId="43" fontId="11" fillId="4" borderId="1" xfId="1" applyFont="1" applyFill="1" applyBorder="1"/>
    <xf numFmtId="44" fontId="13" fillId="0" borderId="1" xfId="2" applyFon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329556</xdr:colOff>
      <xdr:row>99</xdr:row>
      <xdr:rowOff>63975</xdr:rowOff>
    </xdr:from>
    <xdr:to>
      <xdr:col>23</xdr:col>
      <xdr:colOff>521584</xdr:colOff>
      <xdr:row>104</xdr:row>
      <xdr:rowOff>53431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93821" y="37245093"/>
          <a:ext cx="2612498" cy="941956"/>
        </a:xfrm>
        <a:prstGeom prst="rect">
          <a:avLst/>
        </a:prstGeom>
      </xdr:spPr>
    </xdr:pic>
    <xdr:clientData/>
  </xdr:twoCellAnchor>
  <xdr:twoCellAnchor editAs="oneCell">
    <xdr:from>
      <xdr:col>18</xdr:col>
      <xdr:colOff>244494</xdr:colOff>
      <xdr:row>24</xdr:row>
      <xdr:rowOff>331591</xdr:rowOff>
    </xdr:from>
    <xdr:to>
      <xdr:col>21</xdr:col>
      <xdr:colOff>376926</xdr:colOff>
      <xdr:row>27</xdr:row>
      <xdr:rowOff>201706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A48D4A-B14F-9ACB-EC7B-1B968ABF1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03641" y="8993738"/>
          <a:ext cx="1947785" cy="1013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"/>
  <sheetViews>
    <sheetView tabSelected="1" view="pageBreakPreview" topLeftCell="D16" zoomScale="85" zoomScaleNormal="85" zoomScaleSheetLayoutView="85" workbookViewId="0">
      <selection activeCell="M98" sqref="M98:R98"/>
    </sheetView>
  </sheetViews>
  <sheetFormatPr defaultRowHeight="15"/>
  <cols>
    <col min="1" max="1" width="7.28515625" customWidth="1"/>
    <col min="2" max="2" width="47.140625" customWidth="1"/>
    <col min="3" max="3" width="12.28515625" style="5" customWidth="1"/>
    <col min="4" max="4" width="14.7109375" style="5" customWidth="1"/>
    <col min="5" max="5" width="16.28515625" customWidth="1"/>
    <col min="6" max="6" width="24" customWidth="1"/>
    <col min="7" max="7" width="16.140625" customWidth="1"/>
    <col min="8" max="8" width="19.5703125" customWidth="1"/>
    <col min="9" max="9" width="14.140625" bestFit="1" customWidth="1"/>
    <col min="10" max="10" width="18.140625" customWidth="1"/>
    <col min="11" max="11" width="15.5703125" customWidth="1"/>
    <col min="12" max="12" width="27.85546875" bestFit="1" customWidth="1"/>
    <col min="13" max="13" width="16" style="3" bestFit="1" customWidth="1"/>
    <col min="14" max="14" width="20.85546875" customWidth="1"/>
    <col min="15" max="15" width="16" customWidth="1"/>
    <col min="16" max="16" width="17.28515625" customWidth="1"/>
    <col min="17" max="17" width="15.140625" customWidth="1"/>
    <col min="18" max="18" width="22.85546875" customWidth="1"/>
  </cols>
  <sheetData>
    <row r="1" spans="1:18" s="1" customFormat="1" ht="27" customHeight="1">
      <c r="C1" s="4"/>
      <c r="D1" s="4"/>
      <c r="M1" s="2"/>
      <c r="N1" s="75" t="s">
        <v>46</v>
      </c>
      <c r="O1" s="75"/>
      <c r="P1" s="75"/>
      <c r="Q1" s="75"/>
      <c r="R1" s="75"/>
    </row>
    <row r="2" spans="1:18" s="1" customFormat="1" ht="27" customHeight="1">
      <c r="A2" s="8" t="s">
        <v>68</v>
      </c>
      <c r="C2" s="4"/>
      <c r="D2" s="4"/>
      <c r="M2" s="2"/>
      <c r="N2" s="75" t="s">
        <v>47</v>
      </c>
      <c r="O2" s="75"/>
      <c r="P2" s="75"/>
      <c r="Q2" s="75"/>
      <c r="R2" s="75"/>
    </row>
    <row r="3" spans="1:18" s="1" customFormat="1" ht="27" customHeight="1">
      <c r="A3" s="8" t="s">
        <v>69</v>
      </c>
      <c r="C3" s="4"/>
      <c r="D3" s="4"/>
      <c r="M3" s="2"/>
    </row>
    <row r="4" spans="1:18" s="1" customFormat="1" ht="36.75" customHeight="1">
      <c r="A4" s="8" t="s">
        <v>52</v>
      </c>
      <c r="C4" s="4"/>
      <c r="D4" s="4"/>
      <c r="G4" s="76" t="s">
        <v>48</v>
      </c>
      <c r="H4" s="76"/>
      <c r="I4" s="76"/>
      <c r="J4" s="76"/>
      <c r="K4" s="76"/>
      <c r="L4" s="76"/>
      <c r="M4" s="76"/>
    </row>
    <row r="5" spans="1:18" s="1" customFormat="1" ht="27" customHeight="1">
      <c r="C5" s="4"/>
      <c r="D5" s="4"/>
      <c r="G5" s="70" t="s">
        <v>49</v>
      </c>
      <c r="H5" s="70"/>
      <c r="I5" s="70"/>
      <c r="J5" s="70"/>
      <c r="K5" s="70"/>
      <c r="L5" s="70"/>
      <c r="M5" s="70"/>
    </row>
    <row r="6" spans="1:18" s="1" customFormat="1" ht="27" customHeight="1">
      <c r="C6" s="4"/>
      <c r="D6" s="4"/>
      <c r="G6" s="70" t="s">
        <v>71</v>
      </c>
      <c r="H6" s="70"/>
      <c r="I6" s="70"/>
      <c r="J6" s="70"/>
      <c r="K6" s="70"/>
      <c r="L6" s="70"/>
      <c r="M6" s="70"/>
    </row>
    <row r="7" spans="1:18" s="1" customFormat="1" ht="27" customHeight="1">
      <c r="C7" s="4"/>
      <c r="D7" s="4"/>
      <c r="G7" s="70" t="s">
        <v>50</v>
      </c>
      <c r="H7" s="70"/>
      <c r="I7" s="70"/>
      <c r="J7" s="70"/>
      <c r="K7" s="70"/>
      <c r="L7" s="70"/>
      <c r="M7" s="70"/>
    </row>
    <row r="8" spans="1:18" s="1" customFormat="1" ht="27" customHeight="1">
      <c r="C8" s="4"/>
      <c r="D8" s="4"/>
      <c r="G8" s="70" t="s">
        <v>72</v>
      </c>
      <c r="H8" s="70"/>
      <c r="I8" s="70"/>
      <c r="J8" s="70"/>
      <c r="K8" s="70"/>
      <c r="L8" s="70"/>
      <c r="M8" s="70"/>
    </row>
    <row r="9" spans="1:18" s="1" customFormat="1" ht="15.75">
      <c r="C9" s="4"/>
      <c r="D9" s="4"/>
      <c r="M9" s="2"/>
    </row>
    <row r="10" spans="1:18" s="1" customFormat="1" ht="27.75" customHeight="1">
      <c r="A10" s="67" t="s">
        <v>36</v>
      </c>
      <c r="B10" s="68" t="s">
        <v>37</v>
      </c>
      <c r="C10" s="6" t="s">
        <v>38</v>
      </c>
      <c r="D10" s="64" t="s">
        <v>40</v>
      </c>
      <c r="E10" s="65"/>
      <c r="F10" s="66"/>
      <c r="G10" s="68" t="s">
        <v>57</v>
      </c>
      <c r="H10" s="68"/>
      <c r="I10" s="68" t="s">
        <v>117</v>
      </c>
      <c r="J10" s="68"/>
      <c r="K10" s="68" t="s">
        <v>118</v>
      </c>
      <c r="L10" s="68"/>
      <c r="M10" s="68" t="s">
        <v>119</v>
      </c>
      <c r="N10" s="68"/>
      <c r="O10" s="68" t="s">
        <v>120</v>
      </c>
      <c r="P10" s="68"/>
      <c r="Q10" s="68" t="s">
        <v>44</v>
      </c>
      <c r="R10" s="68"/>
    </row>
    <row r="11" spans="1:18" s="1" customFormat="1" ht="27.75">
      <c r="A11" s="67"/>
      <c r="B11" s="68"/>
      <c r="C11" s="6" t="s">
        <v>39</v>
      </c>
      <c r="D11" s="6" t="s">
        <v>41</v>
      </c>
      <c r="E11" s="6" t="s">
        <v>42</v>
      </c>
      <c r="F11" s="6" t="s">
        <v>43</v>
      </c>
      <c r="G11" s="7" t="s">
        <v>41</v>
      </c>
      <c r="H11" s="7" t="s">
        <v>45</v>
      </c>
      <c r="I11" s="7" t="s">
        <v>41</v>
      </c>
      <c r="J11" s="7" t="s">
        <v>45</v>
      </c>
      <c r="K11" s="7" t="s">
        <v>41</v>
      </c>
      <c r="L11" s="7" t="s">
        <v>45</v>
      </c>
      <c r="M11" s="7" t="s">
        <v>41</v>
      </c>
      <c r="N11" s="7" t="s">
        <v>45</v>
      </c>
      <c r="O11" s="7" t="s">
        <v>41</v>
      </c>
      <c r="P11" s="7" t="s">
        <v>45</v>
      </c>
      <c r="Q11" s="7" t="s">
        <v>41</v>
      </c>
      <c r="R11" s="7" t="s">
        <v>45</v>
      </c>
    </row>
    <row r="12" spans="1:18" s="14" customFormat="1" ht="22.5" customHeight="1">
      <c r="A12" s="11" t="s">
        <v>0</v>
      </c>
      <c r="B12" s="12"/>
      <c r="C12" s="12"/>
      <c r="D12" s="12"/>
      <c r="E12" s="13"/>
      <c r="F12" s="13"/>
      <c r="M12" s="15"/>
    </row>
    <row r="13" spans="1:18" s="17" customFormat="1" ht="30" customHeight="1">
      <c r="A13" s="16">
        <v>1</v>
      </c>
      <c r="B13" s="17" t="s">
        <v>73</v>
      </c>
      <c r="C13" s="18" t="s">
        <v>8</v>
      </c>
      <c r="D13" s="18">
        <v>300</v>
      </c>
      <c r="E13" s="19">
        <v>400</v>
      </c>
      <c r="F13" s="19">
        <f>E13*D13</f>
        <v>120000</v>
      </c>
      <c r="G13" s="20"/>
      <c r="H13" s="20">
        <f t="shared" ref="H13:H21" si="0">G13*E13</f>
        <v>0</v>
      </c>
      <c r="I13" s="20"/>
      <c r="J13" s="20">
        <f t="shared" ref="J13:J21" si="1">I13*E13</f>
        <v>0</v>
      </c>
      <c r="L13" s="21">
        <f t="shared" ref="L13:L21" si="2">K13*E13</f>
        <v>0</v>
      </c>
      <c r="M13" s="22"/>
      <c r="N13" s="21">
        <f t="shared" ref="N13:N21" si="3">M13*E13</f>
        <v>0</v>
      </c>
      <c r="O13" s="21"/>
      <c r="P13" s="21"/>
      <c r="Q13" s="20">
        <f t="shared" ref="Q13:Q17" si="4">D13-G13-I13-K13-M13</f>
        <v>300</v>
      </c>
      <c r="R13" s="21">
        <f t="shared" ref="R13:R21" si="5">Q13*E13</f>
        <v>120000</v>
      </c>
    </row>
    <row r="14" spans="1:18" s="17" customFormat="1" ht="30" customHeight="1">
      <c r="A14" s="16">
        <v>2</v>
      </c>
      <c r="B14" s="17" t="s">
        <v>74</v>
      </c>
      <c r="C14" s="18" t="s">
        <v>8</v>
      </c>
      <c r="D14" s="18">
        <v>20</v>
      </c>
      <c r="E14" s="19">
        <v>600</v>
      </c>
      <c r="F14" s="19">
        <f t="shared" ref="F14:F21" si="6">E14*D14</f>
        <v>12000</v>
      </c>
      <c r="G14" s="20"/>
      <c r="H14" s="20">
        <f t="shared" si="0"/>
        <v>0</v>
      </c>
      <c r="I14" s="20"/>
      <c r="J14" s="20">
        <f t="shared" si="1"/>
        <v>0</v>
      </c>
      <c r="L14" s="21">
        <f t="shared" si="2"/>
        <v>0</v>
      </c>
      <c r="M14" s="22"/>
      <c r="N14" s="21">
        <f t="shared" si="3"/>
        <v>0</v>
      </c>
      <c r="O14" s="21"/>
      <c r="P14" s="21"/>
      <c r="Q14" s="20">
        <f t="shared" si="4"/>
        <v>20</v>
      </c>
      <c r="R14" s="21">
        <f t="shared" si="5"/>
        <v>12000</v>
      </c>
    </row>
    <row r="15" spans="1:18" s="17" customFormat="1" ht="30" customHeight="1">
      <c r="A15" s="16">
        <v>3</v>
      </c>
      <c r="B15" s="17" t="s">
        <v>75</v>
      </c>
      <c r="C15" s="18" t="s">
        <v>8</v>
      </c>
      <c r="D15" s="18">
        <v>300</v>
      </c>
      <c r="E15" s="19">
        <v>600</v>
      </c>
      <c r="F15" s="19">
        <f t="shared" si="6"/>
        <v>180000</v>
      </c>
      <c r="G15" s="20"/>
      <c r="H15" s="20">
        <f t="shared" si="0"/>
        <v>0</v>
      </c>
      <c r="I15" s="20"/>
      <c r="J15" s="20">
        <f t="shared" si="1"/>
        <v>0</v>
      </c>
      <c r="L15" s="21">
        <f t="shared" si="2"/>
        <v>0</v>
      </c>
      <c r="M15" s="22"/>
      <c r="N15" s="21">
        <f t="shared" si="3"/>
        <v>0</v>
      </c>
      <c r="O15" s="21"/>
      <c r="P15" s="21"/>
      <c r="Q15" s="20">
        <f t="shared" si="4"/>
        <v>300</v>
      </c>
      <c r="R15" s="21">
        <f t="shared" si="5"/>
        <v>180000</v>
      </c>
    </row>
    <row r="16" spans="1:18" s="17" customFormat="1" ht="30" customHeight="1">
      <c r="A16" s="16">
        <v>4</v>
      </c>
      <c r="B16" s="17" t="s">
        <v>76</v>
      </c>
      <c r="C16" s="18" t="s">
        <v>8</v>
      </c>
      <c r="D16" s="18">
        <v>20</v>
      </c>
      <c r="E16" s="19">
        <v>1500</v>
      </c>
      <c r="F16" s="19">
        <f t="shared" si="6"/>
        <v>30000</v>
      </c>
      <c r="G16" s="20"/>
      <c r="H16" s="20">
        <f t="shared" si="0"/>
        <v>0</v>
      </c>
      <c r="I16" s="20"/>
      <c r="J16" s="20">
        <f t="shared" si="1"/>
        <v>0</v>
      </c>
      <c r="L16" s="21">
        <f t="shared" si="2"/>
        <v>0</v>
      </c>
      <c r="M16" s="22"/>
      <c r="N16" s="21">
        <f t="shared" si="3"/>
        <v>0</v>
      </c>
      <c r="O16" s="21"/>
      <c r="P16" s="21"/>
      <c r="Q16" s="20">
        <f t="shared" si="4"/>
        <v>20</v>
      </c>
      <c r="R16" s="21">
        <f t="shared" si="5"/>
        <v>30000</v>
      </c>
    </row>
    <row r="17" spans="1:18" s="17" customFormat="1" ht="30" customHeight="1">
      <c r="A17" s="16">
        <v>5</v>
      </c>
      <c r="B17" s="17" t="s">
        <v>77</v>
      </c>
      <c r="C17" s="18" t="s">
        <v>8</v>
      </c>
      <c r="D17" s="18">
        <v>150</v>
      </c>
      <c r="E17" s="19">
        <v>1200</v>
      </c>
      <c r="F17" s="19">
        <f t="shared" si="6"/>
        <v>180000</v>
      </c>
      <c r="G17" s="20"/>
      <c r="H17" s="20">
        <f t="shared" si="0"/>
        <v>0</v>
      </c>
      <c r="I17" s="20"/>
      <c r="J17" s="20">
        <f t="shared" si="1"/>
        <v>0</v>
      </c>
      <c r="L17" s="21">
        <f t="shared" si="2"/>
        <v>0</v>
      </c>
      <c r="M17" s="22"/>
      <c r="N17" s="21">
        <f t="shared" si="3"/>
        <v>0</v>
      </c>
      <c r="O17" s="21"/>
      <c r="P17" s="21"/>
      <c r="Q17" s="20">
        <f t="shared" si="4"/>
        <v>150</v>
      </c>
      <c r="R17" s="21">
        <f t="shared" si="5"/>
        <v>180000</v>
      </c>
    </row>
    <row r="18" spans="1:18" s="17" customFormat="1" ht="30" customHeight="1">
      <c r="A18" s="16">
        <v>6</v>
      </c>
      <c r="B18" s="17" t="s">
        <v>78</v>
      </c>
      <c r="C18" s="18" t="s">
        <v>8</v>
      </c>
      <c r="D18" s="18">
        <v>20</v>
      </c>
      <c r="E18" s="23">
        <v>1500</v>
      </c>
      <c r="F18" s="19">
        <f t="shared" si="6"/>
        <v>30000</v>
      </c>
      <c r="G18" s="20"/>
      <c r="H18" s="20">
        <f t="shared" si="0"/>
        <v>0</v>
      </c>
      <c r="I18" s="20"/>
      <c r="J18" s="20">
        <f t="shared" si="1"/>
        <v>0</v>
      </c>
      <c r="L18" s="21">
        <f t="shared" si="2"/>
        <v>0</v>
      </c>
      <c r="M18" s="24"/>
      <c r="N18" s="21">
        <f t="shared" si="3"/>
        <v>0</v>
      </c>
      <c r="O18" s="21"/>
      <c r="P18" s="21"/>
      <c r="Q18" s="20">
        <f>D18-G18-I18-K18-M18-O18</f>
        <v>20</v>
      </c>
      <c r="R18" s="21">
        <f t="shared" si="5"/>
        <v>30000</v>
      </c>
    </row>
    <row r="19" spans="1:18" s="17" customFormat="1" ht="30" customHeight="1">
      <c r="A19" s="16">
        <v>7</v>
      </c>
      <c r="B19" s="17" t="s">
        <v>79</v>
      </c>
      <c r="C19" s="18" t="s">
        <v>8</v>
      </c>
      <c r="D19" s="18">
        <v>5</v>
      </c>
      <c r="E19" s="19">
        <v>800</v>
      </c>
      <c r="F19" s="19">
        <f t="shared" si="6"/>
        <v>4000</v>
      </c>
      <c r="G19" s="20"/>
      <c r="H19" s="20">
        <f t="shared" si="0"/>
        <v>0</v>
      </c>
      <c r="I19" s="20"/>
      <c r="J19" s="20">
        <f t="shared" si="1"/>
        <v>0</v>
      </c>
      <c r="L19" s="21">
        <f t="shared" si="2"/>
        <v>0</v>
      </c>
      <c r="M19" s="22"/>
      <c r="N19" s="21">
        <f t="shared" si="3"/>
        <v>0</v>
      </c>
      <c r="O19" s="21"/>
      <c r="P19" s="21"/>
      <c r="Q19" s="20">
        <f t="shared" ref="Q19:Q86" si="7">D19-G19-I19-K19-M19-O19</f>
        <v>5</v>
      </c>
      <c r="R19" s="21">
        <f t="shared" si="5"/>
        <v>4000</v>
      </c>
    </row>
    <row r="20" spans="1:18" s="17" customFormat="1" ht="30" customHeight="1">
      <c r="A20" s="16">
        <v>8</v>
      </c>
      <c r="B20" s="17" t="s">
        <v>80</v>
      </c>
      <c r="C20" s="18" t="s">
        <v>8</v>
      </c>
      <c r="D20" s="18">
        <v>2</v>
      </c>
      <c r="E20" s="19">
        <v>1000</v>
      </c>
      <c r="F20" s="19">
        <f t="shared" si="6"/>
        <v>2000</v>
      </c>
      <c r="G20" s="20"/>
      <c r="H20" s="20">
        <f t="shared" si="0"/>
        <v>0</v>
      </c>
      <c r="I20" s="20"/>
      <c r="J20" s="20">
        <f t="shared" si="1"/>
        <v>0</v>
      </c>
      <c r="L20" s="21">
        <f t="shared" si="2"/>
        <v>0</v>
      </c>
      <c r="M20" s="22"/>
      <c r="N20" s="21">
        <f t="shared" si="3"/>
        <v>0</v>
      </c>
      <c r="O20" s="21"/>
      <c r="P20" s="21"/>
      <c r="Q20" s="20">
        <f t="shared" si="7"/>
        <v>2</v>
      </c>
      <c r="R20" s="21">
        <f t="shared" si="5"/>
        <v>2000</v>
      </c>
    </row>
    <row r="21" spans="1:18" s="17" customFormat="1" ht="30" customHeight="1">
      <c r="A21" s="16">
        <v>9</v>
      </c>
      <c r="B21" s="17" t="s">
        <v>81</v>
      </c>
      <c r="C21" s="18" t="s">
        <v>8</v>
      </c>
      <c r="D21" s="18">
        <v>2</v>
      </c>
      <c r="E21" s="19">
        <v>4500</v>
      </c>
      <c r="F21" s="19">
        <f t="shared" si="6"/>
        <v>9000</v>
      </c>
      <c r="G21" s="20"/>
      <c r="H21" s="20">
        <f t="shared" si="0"/>
        <v>0</v>
      </c>
      <c r="I21" s="20"/>
      <c r="J21" s="20">
        <f t="shared" si="1"/>
        <v>0</v>
      </c>
      <c r="L21" s="21">
        <f t="shared" si="2"/>
        <v>0</v>
      </c>
      <c r="M21" s="22"/>
      <c r="N21" s="21">
        <f t="shared" si="3"/>
        <v>0</v>
      </c>
      <c r="O21" s="21"/>
      <c r="P21" s="21"/>
      <c r="Q21" s="20">
        <f t="shared" si="7"/>
        <v>2</v>
      </c>
      <c r="R21" s="21">
        <f t="shared" si="5"/>
        <v>9000</v>
      </c>
    </row>
    <row r="22" spans="1:18" s="17" customFormat="1" ht="30" customHeight="1">
      <c r="A22" s="16">
        <v>10</v>
      </c>
      <c r="B22" s="17" t="s">
        <v>82</v>
      </c>
      <c r="C22" s="18" t="s">
        <v>8</v>
      </c>
      <c r="D22" s="18">
        <v>3</v>
      </c>
      <c r="E22" s="19">
        <v>3000</v>
      </c>
      <c r="F22" s="19">
        <f t="shared" ref="F22:F48" si="8">E22*D22</f>
        <v>9000</v>
      </c>
      <c r="G22" s="20"/>
      <c r="H22" s="20">
        <f t="shared" ref="H22:H48" si="9">G22*E22</f>
        <v>0</v>
      </c>
      <c r="I22" s="20"/>
      <c r="J22" s="20">
        <f t="shared" ref="J22:J48" si="10">I22*E22</f>
        <v>0</v>
      </c>
      <c r="L22" s="21">
        <f t="shared" ref="L22:L48" si="11">K22*E22</f>
        <v>0</v>
      </c>
      <c r="M22" s="22"/>
      <c r="N22" s="21">
        <f t="shared" ref="N22:N48" si="12">M22*E22</f>
        <v>0</v>
      </c>
      <c r="O22" s="21"/>
      <c r="P22" s="21"/>
      <c r="Q22" s="20">
        <f t="shared" ref="Q22:Q48" si="13">D22-G22-I22-K22-M22-O22</f>
        <v>3</v>
      </c>
      <c r="R22" s="21">
        <f t="shared" ref="R22:R48" si="14">Q22*E22</f>
        <v>9000</v>
      </c>
    </row>
    <row r="23" spans="1:18" s="17" customFormat="1" ht="30" customHeight="1">
      <c r="A23" s="16">
        <v>11</v>
      </c>
      <c r="B23" s="17" t="s">
        <v>83</v>
      </c>
      <c r="C23" s="18" t="s">
        <v>8</v>
      </c>
      <c r="D23" s="18">
        <v>3</v>
      </c>
      <c r="E23" s="19">
        <v>5000</v>
      </c>
      <c r="F23" s="19">
        <f t="shared" si="8"/>
        <v>15000</v>
      </c>
      <c r="G23" s="20"/>
      <c r="H23" s="20">
        <f t="shared" si="9"/>
        <v>0</v>
      </c>
      <c r="I23" s="20"/>
      <c r="J23" s="20">
        <f t="shared" si="10"/>
        <v>0</v>
      </c>
      <c r="L23" s="21">
        <f t="shared" si="11"/>
        <v>0</v>
      </c>
      <c r="M23" s="22"/>
      <c r="N23" s="21">
        <f t="shared" si="12"/>
        <v>0</v>
      </c>
      <c r="O23" s="21"/>
      <c r="P23" s="21"/>
      <c r="Q23" s="20">
        <f t="shared" si="13"/>
        <v>3</v>
      </c>
      <c r="R23" s="21">
        <f t="shared" si="14"/>
        <v>15000</v>
      </c>
    </row>
    <row r="24" spans="1:18" s="17" customFormat="1" ht="30" customHeight="1">
      <c r="A24" s="16">
        <v>12</v>
      </c>
      <c r="B24" s="17" t="s">
        <v>84</v>
      </c>
      <c r="C24" s="18" t="s">
        <v>8</v>
      </c>
      <c r="D24" s="18">
        <v>1000</v>
      </c>
      <c r="E24" s="19">
        <v>7</v>
      </c>
      <c r="F24" s="19">
        <f t="shared" si="8"/>
        <v>7000</v>
      </c>
      <c r="G24" s="20"/>
      <c r="H24" s="20">
        <f t="shared" si="9"/>
        <v>0</v>
      </c>
      <c r="I24" s="20"/>
      <c r="J24" s="20">
        <f t="shared" si="10"/>
        <v>0</v>
      </c>
      <c r="L24" s="21">
        <f t="shared" si="11"/>
        <v>0</v>
      </c>
      <c r="M24" s="22"/>
      <c r="N24" s="21">
        <f t="shared" si="12"/>
        <v>0</v>
      </c>
      <c r="O24" s="21"/>
      <c r="P24" s="21"/>
      <c r="Q24" s="20">
        <f t="shared" si="13"/>
        <v>1000</v>
      </c>
      <c r="R24" s="21">
        <f t="shared" si="14"/>
        <v>7000</v>
      </c>
    </row>
    <row r="25" spans="1:18" s="17" customFormat="1" ht="30" customHeight="1">
      <c r="A25" s="16">
        <v>13</v>
      </c>
      <c r="B25" s="17" t="s">
        <v>85</v>
      </c>
      <c r="C25" s="18" t="s">
        <v>8</v>
      </c>
      <c r="D25" s="18">
        <v>1000</v>
      </c>
      <c r="E25" s="19">
        <v>6</v>
      </c>
      <c r="F25" s="19">
        <f t="shared" si="8"/>
        <v>6000</v>
      </c>
      <c r="G25" s="20"/>
      <c r="H25" s="20">
        <f t="shared" si="9"/>
        <v>0</v>
      </c>
      <c r="I25" s="20"/>
      <c r="J25" s="20">
        <f t="shared" si="10"/>
        <v>0</v>
      </c>
      <c r="L25" s="21">
        <f t="shared" si="11"/>
        <v>0</v>
      </c>
      <c r="M25" s="22"/>
      <c r="N25" s="21">
        <f t="shared" si="12"/>
        <v>0</v>
      </c>
      <c r="O25" s="21"/>
      <c r="P25" s="21"/>
      <c r="Q25" s="20">
        <f t="shared" si="13"/>
        <v>1000</v>
      </c>
      <c r="R25" s="21">
        <f t="shared" si="14"/>
        <v>6000</v>
      </c>
    </row>
    <row r="26" spans="1:18" s="17" customFormat="1" ht="30" customHeight="1">
      <c r="A26" s="16">
        <v>14</v>
      </c>
      <c r="B26" s="17" t="s">
        <v>86</v>
      </c>
      <c r="C26" s="18" t="s">
        <v>8</v>
      </c>
      <c r="D26" s="18">
        <v>2</v>
      </c>
      <c r="E26" s="19">
        <v>5000</v>
      </c>
      <c r="F26" s="19">
        <f t="shared" si="8"/>
        <v>10000</v>
      </c>
      <c r="G26" s="20"/>
      <c r="H26" s="20">
        <f t="shared" si="9"/>
        <v>0</v>
      </c>
      <c r="I26" s="20"/>
      <c r="J26" s="20">
        <f t="shared" si="10"/>
        <v>0</v>
      </c>
      <c r="L26" s="21">
        <f t="shared" si="11"/>
        <v>0</v>
      </c>
      <c r="M26" s="22"/>
      <c r="N26" s="21">
        <f t="shared" si="12"/>
        <v>0</v>
      </c>
      <c r="O26" s="21"/>
      <c r="P26" s="21"/>
      <c r="Q26" s="20">
        <f t="shared" si="13"/>
        <v>2</v>
      </c>
      <c r="R26" s="21">
        <f t="shared" si="14"/>
        <v>10000</v>
      </c>
    </row>
    <row r="27" spans="1:18" s="17" customFormat="1" ht="30" customHeight="1">
      <c r="A27" s="16">
        <v>15</v>
      </c>
      <c r="B27" s="17" t="s">
        <v>87</v>
      </c>
      <c r="C27" s="18" t="s">
        <v>8</v>
      </c>
      <c r="D27" s="18">
        <v>5</v>
      </c>
      <c r="E27" s="19">
        <v>100</v>
      </c>
      <c r="F27" s="19">
        <f t="shared" si="8"/>
        <v>500</v>
      </c>
      <c r="G27" s="20"/>
      <c r="H27" s="20">
        <f t="shared" si="9"/>
        <v>0</v>
      </c>
      <c r="I27" s="20"/>
      <c r="J27" s="20">
        <f t="shared" si="10"/>
        <v>0</v>
      </c>
      <c r="L27" s="21">
        <f t="shared" si="11"/>
        <v>0</v>
      </c>
      <c r="M27" s="22"/>
      <c r="N27" s="21">
        <f t="shared" si="12"/>
        <v>0</v>
      </c>
      <c r="O27" s="21"/>
      <c r="P27" s="21"/>
      <c r="Q27" s="20">
        <f t="shared" si="13"/>
        <v>5</v>
      </c>
      <c r="R27" s="21">
        <f t="shared" si="14"/>
        <v>500</v>
      </c>
    </row>
    <row r="28" spans="1:18" s="17" customFormat="1" ht="30" customHeight="1">
      <c r="A28" s="16">
        <v>16</v>
      </c>
      <c r="B28" s="17" t="s">
        <v>88</v>
      </c>
      <c r="C28" s="18" t="s">
        <v>8</v>
      </c>
      <c r="D28" s="18">
        <v>2</v>
      </c>
      <c r="E28" s="19">
        <v>2000</v>
      </c>
      <c r="F28" s="19">
        <f t="shared" si="8"/>
        <v>4000</v>
      </c>
      <c r="G28" s="20"/>
      <c r="H28" s="20">
        <f t="shared" si="9"/>
        <v>0</v>
      </c>
      <c r="I28" s="20"/>
      <c r="J28" s="20">
        <f t="shared" si="10"/>
        <v>0</v>
      </c>
      <c r="L28" s="21">
        <f t="shared" si="11"/>
        <v>0</v>
      </c>
      <c r="M28" s="22"/>
      <c r="N28" s="21">
        <f t="shared" si="12"/>
        <v>0</v>
      </c>
      <c r="O28" s="21"/>
      <c r="P28" s="21"/>
      <c r="Q28" s="20">
        <f t="shared" si="13"/>
        <v>2</v>
      </c>
      <c r="R28" s="21">
        <f t="shared" si="14"/>
        <v>4000</v>
      </c>
    </row>
    <row r="29" spans="1:18" s="17" customFormat="1" ht="30" customHeight="1">
      <c r="A29" s="16">
        <v>17</v>
      </c>
      <c r="B29" s="17" t="s">
        <v>89</v>
      </c>
      <c r="C29" s="18" t="s">
        <v>8</v>
      </c>
      <c r="D29" s="18">
        <v>10</v>
      </c>
      <c r="E29" s="19">
        <v>1000</v>
      </c>
      <c r="F29" s="19">
        <f t="shared" si="8"/>
        <v>10000</v>
      </c>
      <c r="G29" s="20"/>
      <c r="H29" s="20">
        <f t="shared" si="9"/>
        <v>0</v>
      </c>
      <c r="I29" s="20"/>
      <c r="J29" s="20">
        <f t="shared" si="10"/>
        <v>0</v>
      </c>
      <c r="L29" s="21">
        <f t="shared" si="11"/>
        <v>0</v>
      </c>
      <c r="M29" s="22"/>
      <c r="N29" s="21">
        <f t="shared" si="12"/>
        <v>0</v>
      </c>
      <c r="O29" s="21"/>
      <c r="P29" s="21"/>
      <c r="Q29" s="20">
        <f t="shared" si="13"/>
        <v>10</v>
      </c>
      <c r="R29" s="21">
        <f t="shared" si="14"/>
        <v>10000</v>
      </c>
    </row>
    <row r="30" spans="1:18" s="17" customFormat="1" ht="30" customHeight="1">
      <c r="A30" s="16">
        <v>18</v>
      </c>
      <c r="B30" s="17" t="s">
        <v>90</v>
      </c>
      <c r="C30" s="18" t="s">
        <v>8</v>
      </c>
      <c r="D30" s="18">
        <v>3</v>
      </c>
      <c r="E30" s="19">
        <v>1000</v>
      </c>
      <c r="F30" s="19">
        <f t="shared" si="8"/>
        <v>3000</v>
      </c>
      <c r="G30" s="20"/>
      <c r="H30" s="20">
        <f t="shared" si="9"/>
        <v>0</v>
      </c>
      <c r="I30" s="20"/>
      <c r="J30" s="20">
        <f t="shared" si="10"/>
        <v>0</v>
      </c>
      <c r="L30" s="21">
        <f t="shared" si="11"/>
        <v>0</v>
      </c>
      <c r="M30" s="22"/>
      <c r="N30" s="21">
        <f t="shared" si="12"/>
        <v>0</v>
      </c>
      <c r="O30" s="21"/>
      <c r="P30" s="21"/>
      <c r="Q30" s="20">
        <f t="shared" si="13"/>
        <v>3</v>
      </c>
      <c r="R30" s="21">
        <f t="shared" si="14"/>
        <v>3000</v>
      </c>
    </row>
    <row r="31" spans="1:18" s="17" customFormat="1" ht="30" customHeight="1">
      <c r="A31" s="16">
        <v>19</v>
      </c>
      <c r="B31" s="17" t="s">
        <v>91</v>
      </c>
      <c r="C31" s="18" t="s">
        <v>8</v>
      </c>
      <c r="D31" s="18">
        <v>15</v>
      </c>
      <c r="E31" s="19">
        <v>1200</v>
      </c>
      <c r="F31" s="19">
        <f t="shared" si="8"/>
        <v>18000</v>
      </c>
      <c r="G31" s="20"/>
      <c r="H31" s="20">
        <f t="shared" si="9"/>
        <v>0</v>
      </c>
      <c r="I31" s="20"/>
      <c r="J31" s="20">
        <f t="shared" si="10"/>
        <v>0</v>
      </c>
      <c r="L31" s="21">
        <f t="shared" si="11"/>
        <v>0</v>
      </c>
      <c r="M31" s="22"/>
      <c r="N31" s="21">
        <f t="shared" si="12"/>
        <v>0</v>
      </c>
      <c r="O31" s="21"/>
      <c r="P31" s="21"/>
      <c r="Q31" s="20">
        <f t="shared" si="13"/>
        <v>15</v>
      </c>
      <c r="R31" s="21">
        <f t="shared" si="14"/>
        <v>18000</v>
      </c>
    </row>
    <row r="32" spans="1:18" s="17" customFormat="1" ht="30" customHeight="1">
      <c r="A32" s="16">
        <v>20</v>
      </c>
      <c r="B32" s="17" t="s">
        <v>92</v>
      </c>
      <c r="C32" s="18" t="s">
        <v>8</v>
      </c>
      <c r="D32" s="18">
        <v>30</v>
      </c>
      <c r="E32" s="19">
        <v>200</v>
      </c>
      <c r="F32" s="19">
        <f t="shared" si="8"/>
        <v>6000</v>
      </c>
      <c r="G32" s="20"/>
      <c r="H32" s="20">
        <f t="shared" si="9"/>
        <v>0</v>
      </c>
      <c r="I32" s="20"/>
      <c r="J32" s="20">
        <f t="shared" si="10"/>
        <v>0</v>
      </c>
      <c r="L32" s="21">
        <f t="shared" si="11"/>
        <v>0</v>
      </c>
      <c r="M32" s="22"/>
      <c r="N32" s="21">
        <f t="shared" si="12"/>
        <v>0</v>
      </c>
      <c r="O32" s="21"/>
      <c r="P32" s="21"/>
      <c r="Q32" s="20">
        <f t="shared" si="13"/>
        <v>30</v>
      </c>
      <c r="R32" s="21">
        <f t="shared" si="14"/>
        <v>6000</v>
      </c>
    </row>
    <row r="33" spans="1:18" s="17" customFormat="1" ht="30" customHeight="1">
      <c r="A33" s="16">
        <v>21</v>
      </c>
      <c r="B33" s="17" t="s">
        <v>93</v>
      </c>
      <c r="C33" s="18" t="s">
        <v>8</v>
      </c>
      <c r="D33" s="18">
        <v>20</v>
      </c>
      <c r="E33" s="19">
        <v>300</v>
      </c>
      <c r="F33" s="19">
        <f t="shared" si="8"/>
        <v>6000</v>
      </c>
      <c r="G33" s="20"/>
      <c r="H33" s="20">
        <f t="shared" si="9"/>
        <v>0</v>
      </c>
      <c r="I33" s="20"/>
      <c r="J33" s="20">
        <f t="shared" si="10"/>
        <v>0</v>
      </c>
      <c r="L33" s="21">
        <f t="shared" si="11"/>
        <v>0</v>
      </c>
      <c r="M33" s="22"/>
      <c r="N33" s="21">
        <f t="shared" si="12"/>
        <v>0</v>
      </c>
      <c r="O33" s="21"/>
      <c r="P33" s="21"/>
      <c r="Q33" s="20">
        <f t="shared" si="13"/>
        <v>20</v>
      </c>
      <c r="R33" s="21">
        <f t="shared" si="14"/>
        <v>6000</v>
      </c>
    </row>
    <row r="34" spans="1:18" s="17" customFormat="1" ht="30" customHeight="1">
      <c r="A34" s="16">
        <v>22</v>
      </c>
      <c r="B34" s="17" t="s">
        <v>94</v>
      </c>
      <c r="C34" s="18" t="s">
        <v>8</v>
      </c>
      <c r="D34" s="18">
        <v>1</v>
      </c>
      <c r="E34" s="63">
        <v>100000</v>
      </c>
      <c r="F34" s="19">
        <f t="shared" si="8"/>
        <v>100000</v>
      </c>
      <c r="G34" s="20"/>
      <c r="H34" s="20">
        <f t="shared" si="9"/>
        <v>0</v>
      </c>
      <c r="I34" s="20"/>
      <c r="J34" s="20">
        <f t="shared" si="10"/>
        <v>0</v>
      </c>
      <c r="L34" s="21">
        <f t="shared" si="11"/>
        <v>0</v>
      </c>
      <c r="M34" s="22"/>
      <c r="N34" s="21">
        <f t="shared" si="12"/>
        <v>0</v>
      </c>
      <c r="O34" s="21"/>
      <c r="P34" s="21"/>
      <c r="Q34" s="20">
        <f t="shared" si="13"/>
        <v>1</v>
      </c>
      <c r="R34" s="21">
        <f t="shared" si="14"/>
        <v>100000</v>
      </c>
    </row>
    <row r="35" spans="1:18" s="17" customFormat="1" ht="30" customHeight="1">
      <c r="A35" s="16">
        <v>23</v>
      </c>
      <c r="B35" s="17" t="s">
        <v>95</v>
      </c>
      <c r="C35" s="18" t="s">
        <v>8</v>
      </c>
      <c r="D35" s="18">
        <v>10</v>
      </c>
      <c r="E35" s="19">
        <v>500</v>
      </c>
      <c r="F35" s="19">
        <f t="shared" si="8"/>
        <v>5000</v>
      </c>
      <c r="G35" s="20"/>
      <c r="H35" s="20">
        <f t="shared" si="9"/>
        <v>0</v>
      </c>
      <c r="I35" s="20"/>
      <c r="J35" s="20">
        <f t="shared" si="10"/>
        <v>0</v>
      </c>
      <c r="L35" s="21">
        <f t="shared" si="11"/>
        <v>0</v>
      </c>
      <c r="M35" s="22"/>
      <c r="N35" s="21">
        <f t="shared" si="12"/>
        <v>0</v>
      </c>
      <c r="O35" s="21"/>
      <c r="P35" s="21"/>
      <c r="Q35" s="20">
        <f t="shared" si="13"/>
        <v>10</v>
      </c>
      <c r="R35" s="21">
        <f t="shared" si="14"/>
        <v>5000</v>
      </c>
    </row>
    <row r="36" spans="1:18" s="17" customFormat="1" ht="30" customHeight="1">
      <c r="A36" s="16">
        <v>24</v>
      </c>
      <c r="B36" s="17" t="s">
        <v>96</v>
      </c>
      <c r="C36" s="18" t="s">
        <v>8</v>
      </c>
      <c r="D36" s="18">
        <v>2</v>
      </c>
      <c r="E36" s="19">
        <v>10000</v>
      </c>
      <c r="F36" s="19">
        <f t="shared" si="8"/>
        <v>20000</v>
      </c>
      <c r="G36" s="20"/>
      <c r="H36" s="20">
        <f t="shared" si="9"/>
        <v>0</v>
      </c>
      <c r="I36" s="20"/>
      <c r="J36" s="20">
        <f t="shared" si="10"/>
        <v>0</v>
      </c>
      <c r="L36" s="21">
        <f t="shared" si="11"/>
        <v>0</v>
      </c>
      <c r="M36" s="22"/>
      <c r="N36" s="21">
        <f t="shared" si="12"/>
        <v>0</v>
      </c>
      <c r="O36" s="21"/>
      <c r="P36" s="21"/>
      <c r="Q36" s="20">
        <f t="shared" si="13"/>
        <v>2</v>
      </c>
      <c r="R36" s="21">
        <f t="shared" si="14"/>
        <v>20000</v>
      </c>
    </row>
    <row r="37" spans="1:18" s="17" customFormat="1" ht="30" customHeight="1">
      <c r="A37" s="16">
        <v>25</v>
      </c>
      <c r="B37" s="17" t="s">
        <v>97</v>
      </c>
      <c r="C37" s="18" t="s">
        <v>8</v>
      </c>
      <c r="D37" s="18">
        <v>2</v>
      </c>
      <c r="E37" s="19">
        <v>400</v>
      </c>
      <c r="F37" s="19">
        <f t="shared" si="8"/>
        <v>800</v>
      </c>
      <c r="G37" s="20"/>
      <c r="H37" s="20">
        <f t="shared" si="9"/>
        <v>0</v>
      </c>
      <c r="I37" s="20"/>
      <c r="J37" s="20">
        <f t="shared" si="10"/>
        <v>0</v>
      </c>
      <c r="L37" s="21">
        <f t="shared" si="11"/>
        <v>0</v>
      </c>
      <c r="M37" s="22"/>
      <c r="N37" s="21">
        <f t="shared" si="12"/>
        <v>0</v>
      </c>
      <c r="O37" s="21"/>
      <c r="P37" s="21"/>
      <c r="Q37" s="20">
        <f t="shared" si="13"/>
        <v>2</v>
      </c>
      <c r="R37" s="21">
        <f t="shared" si="14"/>
        <v>800</v>
      </c>
    </row>
    <row r="38" spans="1:18" s="17" customFormat="1" ht="30" customHeight="1">
      <c r="A38" s="16">
        <v>26</v>
      </c>
      <c r="B38" s="17" t="s">
        <v>98</v>
      </c>
      <c r="C38" s="18" t="s">
        <v>8</v>
      </c>
      <c r="D38" s="18">
        <v>5</v>
      </c>
      <c r="E38" s="19">
        <v>1600</v>
      </c>
      <c r="F38" s="19">
        <f t="shared" si="8"/>
        <v>8000</v>
      </c>
      <c r="G38" s="20"/>
      <c r="H38" s="20">
        <f t="shared" si="9"/>
        <v>0</v>
      </c>
      <c r="I38" s="20"/>
      <c r="J38" s="20">
        <f t="shared" si="10"/>
        <v>0</v>
      </c>
      <c r="L38" s="21">
        <f t="shared" si="11"/>
        <v>0</v>
      </c>
      <c r="M38" s="22"/>
      <c r="N38" s="21">
        <f t="shared" si="12"/>
        <v>0</v>
      </c>
      <c r="O38" s="21"/>
      <c r="P38" s="21"/>
      <c r="Q38" s="20">
        <f t="shared" si="13"/>
        <v>5</v>
      </c>
      <c r="R38" s="21">
        <f t="shared" si="14"/>
        <v>8000</v>
      </c>
    </row>
    <row r="39" spans="1:18" s="17" customFormat="1" ht="30" customHeight="1">
      <c r="A39" s="16">
        <v>27</v>
      </c>
      <c r="B39" s="17" t="s">
        <v>99</v>
      </c>
      <c r="C39" s="18" t="s">
        <v>8</v>
      </c>
      <c r="D39" s="18">
        <v>5</v>
      </c>
      <c r="E39" s="19">
        <v>3000</v>
      </c>
      <c r="F39" s="19">
        <f t="shared" si="8"/>
        <v>15000</v>
      </c>
      <c r="G39" s="20"/>
      <c r="H39" s="20">
        <f t="shared" si="9"/>
        <v>0</v>
      </c>
      <c r="I39" s="20"/>
      <c r="J39" s="20">
        <f t="shared" si="10"/>
        <v>0</v>
      </c>
      <c r="L39" s="21">
        <f t="shared" si="11"/>
        <v>0</v>
      </c>
      <c r="M39" s="22"/>
      <c r="N39" s="21">
        <f t="shared" si="12"/>
        <v>0</v>
      </c>
      <c r="O39" s="21"/>
      <c r="P39" s="21"/>
      <c r="Q39" s="20">
        <f t="shared" si="13"/>
        <v>5</v>
      </c>
      <c r="R39" s="21">
        <f t="shared" si="14"/>
        <v>15000</v>
      </c>
    </row>
    <row r="40" spans="1:18" s="17" customFormat="1" ht="30" customHeight="1">
      <c r="A40" s="16">
        <v>28</v>
      </c>
      <c r="B40" s="17" t="s">
        <v>100</v>
      </c>
      <c r="C40" s="18" t="s">
        <v>8</v>
      </c>
      <c r="D40" s="18">
        <v>5</v>
      </c>
      <c r="E40" s="19">
        <v>2000</v>
      </c>
      <c r="F40" s="19">
        <f t="shared" si="8"/>
        <v>10000</v>
      </c>
      <c r="G40" s="20"/>
      <c r="H40" s="20">
        <f t="shared" si="9"/>
        <v>0</v>
      </c>
      <c r="I40" s="20"/>
      <c r="J40" s="20">
        <f t="shared" si="10"/>
        <v>0</v>
      </c>
      <c r="L40" s="21">
        <f t="shared" si="11"/>
        <v>0</v>
      </c>
      <c r="M40" s="22"/>
      <c r="N40" s="21">
        <f t="shared" si="12"/>
        <v>0</v>
      </c>
      <c r="O40" s="21"/>
      <c r="P40" s="21"/>
      <c r="Q40" s="20">
        <f t="shared" si="13"/>
        <v>5</v>
      </c>
      <c r="R40" s="21">
        <f t="shared" si="14"/>
        <v>10000</v>
      </c>
    </row>
    <row r="41" spans="1:18" s="17" customFormat="1" ht="30" customHeight="1">
      <c r="A41" s="16">
        <v>29</v>
      </c>
      <c r="B41" s="17" t="s">
        <v>101</v>
      </c>
      <c r="C41" s="18" t="s">
        <v>8</v>
      </c>
      <c r="D41" s="18">
        <v>2</v>
      </c>
      <c r="E41" s="19">
        <v>3000</v>
      </c>
      <c r="F41" s="19">
        <f t="shared" si="8"/>
        <v>6000</v>
      </c>
      <c r="G41" s="20"/>
      <c r="H41" s="20">
        <f t="shared" si="9"/>
        <v>0</v>
      </c>
      <c r="I41" s="20"/>
      <c r="J41" s="20">
        <f t="shared" si="10"/>
        <v>0</v>
      </c>
      <c r="L41" s="21">
        <f t="shared" si="11"/>
        <v>0</v>
      </c>
      <c r="M41" s="22"/>
      <c r="N41" s="21">
        <f t="shared" si="12"/>
        <v>0</v>
      </c>
      <c r="O41" s="21"/>
      <c r="P41" s="21"/>
      <c r="Q41" s="20">
        <f t="shared" si="13"/>
        <v>2</v>
      </c>
      <c r="R41" s="21">
        <f t="shared" si="14"/>
        <v>6000</v>
      </c>
    </row>
    <row r="42" spans="1:18" s="17" customFormat="1" ht="30" customHeight="1">
      <c r="A42" s="16">
        <v>30</v>
      </c>
      <c r="B42" s="17" t="s">
        <v>102</v>
      </c>
      <c r="C42" s="18" t="s">
        <v>8</v>
      </c>
      <c r="D42" s="18">
        <v>100</v>
      </c>
      <c r="E42" s="19">
        <v>500</v>
      </c>
      <c r="F42" s="19">
        <f t="shared" si="8"/>
        <v>50000</v>
      </c>
      <c r="G42" s="20"/>
      <c r="H42" s="20">
        <f t="shared" si="9"/>
        <v>0</v>
      </c>
      <c r="I42" s="20"/>
      <c r="J42" s="20">
        <f t="shared" si="10"/>
        <v>0</v>
      </c>
      <c r="L42" s="21">
        <f t="shared" si="11"/>
        <v>0</v>
      </c>
      <c r="M42" s="22"/>
      <c r="N42" s="21">
        <f t="shared" si="12"/>
        <v>0</v>
      </c>
      <c r="O42" s="21"/>
      <c r="P42" s="21"/>
      <c r="Q42" s="20">
        <f t="shared" si="13"/>
        <v>100</v>
      </c>
      <c r="R42" s="21">
        <f t="shared" si="14"/>
        <v>50000</v>
      </c>
    </row>
    <row r="43" spans="1:18" s="17" customFormat="1" ht="30" customHeight="1">
      <c r="A43" s="16">
        <v>31</v>
      </c>
      <c r="B43" s="17" t="s">
        <v>103</v>
      </c>
      <c r="C43" s="18" t="s">
        <v>8</v>
      </c>
      <c r="D43" s="18">
        <v>10</v>
      </c>
      <c r="E43" s="19">
        <v>200</v>
      </c>
      <c r="F43" s="19">
        <f t="shared" si="8"/>
        <v>2000</v>
      </c>
      <c r="G43" s="20"/>
      <c r="H43" s="20">
        <f t="shared" si="9"/>
        <v>0</v>
      </c>
      <c r="I43" s="20"/>
      <c r="J43" s="20">
        <f t="shared" si="10"/>
        <v>0</v>
      </c>
      <c r="L43" s="21">
        <f t="shared" si="11"/>
        <v>0</v>
      </c>
      <c r="M43" s="22"/>
      <c r="N43" s="21">
        <f t="shared" si="12"/>
        <v>0</v>
      </c>
      <c r="O43" s="21"/>
      <c r="P43" s="21"/>
      <c r="Q43" s="20">
        <f t="shared" si="13"/>
        <v>10</v>
      </c>
      <c r="R43" s="21">
        <f t="shared" si="14"/>
        <v>2000</v>
      </c>
    </row>
    <row r="44" spans="1:18" s="17" customFormat="1" ht="30" customHeight="1">
      <c r="A44" s="16">
        <v>32</v>
      </c>
      <c r="B44" s="17" t="s">
        <v>104</v>
      </c>
      <c r="C44" s="18" t="s">
        <v>8</v>
      </c>
      <c r="D44" s="18">
        <v>200</v>
      </c>
      <c r="E44" s="19">
        <v>0.3</v>
      </c>
      <c r="F44" s="19">
        <f t="shared" si="8"/>
        <v>60</v>
      </c>
      <c r="G44" s="20"/>
      <c r="H44" s="20">
        <f t="shared" si="9"/>
        <v>0</v>
      </c>
      <c r="I44" s="20"/>
      <c r="J44" s="20">
        <f t="shared" si="10"/>
        <v>0</v>
      </c>
      <c r="L44" s="21">
        <f t="shared" si="11"/>
        <v>0</v>
      </c>
      <c r="M44" s="22"/>
      <c r="N44" s="21">
        <f t="shared" si="12"/>
        <v>0</v>
      </c>
      <c r="O44" s="21"/>
      <c r="P44" s="21"/>
      <c r="Q44" s="20">
        <f t="shared" si="13"/>
        <v>200</v>
      </c>
      <c r="R44" s="21">
        <f t="shared" si="14"/>
        <v>60</v>
      </c>
    </row>
    <row r="45" spans="1:18" s="17" customFormat="1" ht="30" customHeight="1">
      <c r="A45" s="16">
        <v>33</v>
      </c>
      <c r="B45" s="17" t="s">
        <v>105</v>
      </c>
      <c r="C45" s="18" t="s">
        <v>8</v>
      </c>
      <c r="D45" s="18">
        <v>3</v>
      </c>
      <c r="E45" s="19">
        <v>14000</v>
      </c>
      <c r="F45" s="19">
        <f t="shared" si="8"/>
        <v>42000</v>
      </c>
      <c r="G45" s="20"/>
      <c r="H45" s="20">
        <f t="shared" si="9"/>
        <v>0</v>
      </c>
      <c r="I45" s="20"/>
      <c r="J45" s="20">
        <f t="shared" si="10"/>
        <v>0</v>
      </c>
      <c r="L45" s="21">
        <f t="shared" si="11"/>
        <v>0</v>
      </c>
      <c r="M45" s="22"/>
      <c r="N45" s="21">
        <f t="shared" si="12"/>
        <v>0</v>
      </c>
      <c r="O45" s="21"/>
      <c r="P45" s="21"/>
      <c r="Q45" s="20">
        <f t="shared" si="13"/>
        <v>3</v>
      </c>
      <c r="R45" s="21">
        <f t="shared" si="14"/>
        <v>42000</v>
      </c>
    </row>
    <row r="46" spans="1:18" s="17" customFormat="1" ht="30" customHeight="1">
      <c r="A46" s="16">
        <v>34</v>
      </c>
      <c r="B46" s="17" t="s">
        <v>106</v>
      </c>
      <c r="C46" s="18" t="s">
        <v>8</v>
      </c>
      <c r="D46" s="18">
        <v>2</v>
      </c>
      <c r="E46" s="19">
        <v>1522</v>
      </c>
      <c r="F46" s="19">
        <f t="shared" si="8"/>
        <v>3044</v>
      </c>
      <c r="G46" s="20"/>
      <c r="H46" s="20">
        <f t="shared" si="9"/>
        <v>0</v>
      </c>
      <c r="I46" s="20"/>
      <c r="J46" s="20">
        <f t="shared" si="10"/>
        <v>0</v>
      </c>
      <c r="L46" s="21">
        <f t="shared" si="11"/>
        <v>0</v>
      </c>
      <c r="M46" s="22"/>
      <c r="N46" s="21">
        <f t="shared" si="12"/>
        <v>0</v>
      </c>
      <c r="O46" s="21"/>
      <c r="P46" s="21"/>
      <c r="Q46" s="20">
        <f t="shared" si="13"/>
        <v>2</v>
      </c>
      <c r="R46" s="21">
        <f t="shared" si="14"/>
        <v>3044</v>
      </c>
    </row>
    <row r="47" spans="1:18" s="17" customFormat="1" ht="30" customHeight="1">
      <c r="A47" s="16">
        <v>35</v>
      </c>
      <c r="B47" s="17" t="s">
        <v>107</v>
      </c>
      <c r="C47" s="18" t="s">
        <v>8</v>
      </c>
      <c r="D47" s="18">
        <v>4</v>
      </c>
      <c r="E47" s="19">
        <v>1897.5</v>
      </c>
      <c r="F47" s="19">
        <f t="shared" si="8"/>
        <v>7590</v>
      </c>
      <c r="G47" s="20"/>
      <c r="H47" s="20">
        <f t="shared" si="9"/>
        <v>0</v>
      </c>
      <c r="I47" s="20"/>
      <c r="J47" s="20">
        <f t="shared" si="10"/>
        <v>0</v>
      </c>
      <c r="L47" s="21">
        <f t="shared" si="11"/>
        <v>0</v>
      </c>
      <c r="M47" s="22"/>
      <c r="N47" s="21">
        <f t="shared" si="12"/>
        <v>0</v>
      </c>
      <c r="O47" s="21"/>
      <c r="P47" s="21"/>
      <c r="Q47" s="20">
        <f t="shared" si="13"/>
        <v>4</v>
      </c>
      <c r="R47" s="21">
        <f t="shared" si="14"/>
        <v>7590</v>
      </c>
    </row>
    <row r="48" spans="1:18" s="17" customFormat="1" ht="30" customHeight="1">
      <c r="A48" s="16">
        <v>36</v>
      </c>
      <c r="B48" s="17" t="s">
        <v>108</v>
      </c>
      <c r="C48" s="18" t="s">
        <v>8</v>
      </c>
      <c r="D48" s="18">
        <v>1</v>
      </c>
      <c r="E48" s="19">
        <v>45000</v>
      </c>
      <c r="F48" s="19">
        <f t="shared" si="8"/>
        <v>45000</v>
      </c>
      <c r="G48" s="20">
        <v>1</v>
      </c>
      <c r="H48" s="20">
        <f t="shared" si="9"/>
        <v>45000</v>
      </c>
      <c r="I48" s="20"/>
      <c r="J48" s="20">
        <f t="shared" si="10"/>
        <v>0</v>
      </c>
      <c r="L48" s="21">
        <f t="shared" si="11"/>
        <v>0</v>
      </c>
      <c r="M48" s="22"/>
      <c r="N48" s="21">
        <f t="shared" si="12"/>
        <v>0</v>
      </c>
      <c r="O48" s="21"/>
      <c r="P48" s="21"/>
      <c r="Q48" s="20">
        <f t="shared" si="13"/>
        <v>0</v>
      </c>
      <c r="R48" s="21">
        <f t="shared" si="14"/>
        <v>0</v>
      </c>
    </row>
    <row r="49" spans="1:18" s="17" customFormat="1" ht="30" customHeight="1">
      <c r="A49" s="72" t="s">
        <v>51</v>
      </c>
      <c r="B49" s="73"/>
      <c r="C49" s="74"/>
      <c r="D49" s="25"/>
      <c r="E49" s="26"/>
      <c r="F49" s="26">
        <f>SUM(F13:F48)</f>
        <v>975994</v>
      </c>
      <c r="G49" s="27"/>
      <c r="H49" s="27">
        <f>SUM(H13:H48)</f>
        <v>45000</v>
      </c>
      <c r="I49" s="27"/>
      <c r="J49" s="27">
        <f>SUM(J13:J48)</f>
        <v>0</v>
      </c>
      <c r="K49" s="28"/>
      <c r="L49" s="29">
        <f>SUM(L13:L48)</f>
        <v>0</v>
      </c>
      <c r="M49" s="30"/>
      <c r="N49" s="29">
        <f>SUM(N13:N48)</f>
        <v>0</v>
      </c>
      <c r="O49" s="29"/>
      <c r="P49" s="29">
        <f>SUM(N49:O49)</f>
        <v>0</v>
      </c>
      <c r="Q49" s="30">
        <f>SUM(Q13:Q48)</f>
        <v>3263</v>
      </c>
      <c r="R49" s="29">
        <f>SUM(R13:R48)</f>
        <v>930994</v>
      </c>
    </row>
    <row r="50" spans="1:18" s="32" customFormat="1" ht="30" customHeight="1">
      <c r="A50" s="31" t="s">
        <v>1</v>
      </c>
      <c r="C50" s="33"/>
      <c r="D50" s="33"/>
      <c r="E50" s="34"/>
      <c r="G50" s="35"/>
      <c r="H50" s="35"/>
      <c r="I50" s="35"/>
      <c r="J50" s="35"/>
      <c r="K50" s="35"/>
      <c r="L50" s="35"/>
      <c r="M50" s="36"/>
      <c r="N50" s="35"/>
      <c r="O50" s="35"/>
      <c r="P50" s="35"/>
      <c r="Q50" s="35"/>
      <c r="R50" s="35"/>
    </row>
    <row r="51" spans="1:18" s="17" customFormat="1" ht="30" customHeight="1">
      <c r="A51" s="16">
        <v>1</v>
      </c>
      <c r="B51" s="17" t="s">
        <v>4</v>
      </c>
      <c r="C51" s="18" t="s">
        <v>10</v>
      </c>
      <c r="D51" s="37">
        <v>2000000</v>
      </c>
      <c r="E51" s="23">
        <v>5</v>
      </c>
      <c r="F51" s="19">
        <f t="shared" ref="F51:F86" si="15">E51*D51</f>
        <v>10000000</v>
      </c>
      <c r="G51" s="20">
        <v>30816.5</v>
      </c>
      <c r="H51" s="20">
        <f t="shared" ref="H51:H86" si="16">G51*E51</f>
        <v>154082.5</v>
      </c>
      <c r="I51" s="20">
        <v>134758.60000000003</v>
      </c>
      <c r="J51" s="20">
        <f t="shared" ref="J51:J86" si="17">I51*E51</f>
        <v>673793.00000000023</v>
      </c>
      <c r="K51" s="24">
        <v>96869.2</v>
      </c>
      <c r="L51" s="21">
        <f t="shared" ref="L51:L86" si="18">K51*E51</f>
        <v>484346</v>
      </c>
      <c r="M51" s="24">
        <v>199482.96</v>
      </c>
      <c r="N51" s="21">
        <f t="shared" ref="N51:N86" si="19">M51*E51</f>
        <v>997414.79999999993</v>
      </c>
      <c r="O51" s="24">
        <v>44340.5</v>
      </c>
      <c r="P51" s="21">
        <f>O51*E51</f>
        <v>221702.5</v>
      </c>
      <c r="Q51" s="42">
        <f>D51-G51-I51-K51-M51-O51</f>
        <v>1493732.24</v>
      </c>
      <c r="R51" s="21">
        <f>Q51*E51</f>
        <v>7468661.2000000002</v>
      </c>
    </row>
    <row r="52" spans="1:18" s="17" customFormat="1" ht="30" customHeight="1">
      <c r="A52" s="16">
        <v>2</v>
      </c>
      <c r="B52" s="17" t="s">
        <v>5</v>
      </c>
      <c r="C52" s="18" t="s">
        <v>10</v>
      </c>
      <c r="D52" s="38">
        <v>20000</v>
      </c>
      <c r="E52" s="19">
        <v>4</v>
      </c>
      <c r="F52" s="19">
        <f t="shared" si="15"/>
        <v>80000</v>
      </c>
      <c r="G52" s="20">
        <v>0</v>
      </c>
      <c r="H52" s="20">
        <f t="shared" si="16"/>
        <v>0</v>
      </c>
      <c r="I52" s="20">
        <v>0</v>
      </c>
      <c r="J52" s="20">
        <f t="shared" si="17"/>
        <v>0</v>
      </c>
      <c r="K52" s="22">
        <v>487</v>
      </c>
      <c r="L52" s="21">
        <f t="shared" si="18"/>
        <v>1948</v>
      </c>
      <c r="M52" s="22">
        <v>1688.45</v>
      </c>
      <c r="N52" s="21">
        <f t="shared" si="19"/>
        <v>6753.8</v>
      </c>
      <c r="O52" s="24">
        <v>0</v>
      </c>
      <c r="P52" s="21"/>
      <c r="Q52" s="20">
        <f t="shared" si="7"/>
        <v>17824.55</v>
      </c>
      <c r="R52" s="21">
        <f t="shared" ref="R52:R86" si="20">Q52*E52</f>
        <v>71298.2</v>
      </c>
    </row>
    <row r="53" spans="1:18" s="17" customFormat="1" ht="30" customHeight="1">
      <c r="A53" s="16">
        <v>3</v>
      </c>
      <c r="B53" s="17" t="s">
        <v>58</v>
      </c>
      <c r="C53" s="18" t="s">
        <v>54</v>
      </c>
      <c r="D53" s="38">
        <v>100000</v>
      </c>
      <c r="E53" s="19">
        <v>2.5</v>
      </c>
      <c r="F53" s="19">
        <f t="shared" si="15"/>
        <v>250000</v>
      </c>
      <c r="G53" s="20">
        <v>0</v>
      </c>
      <c r="H53" s="20">
        <f t="shared" si="16"/>
        <v>0</v>
      </c>
      <c r="I53" s="20">
        <v>0</v>
      </c>
      <c r="J53" s="20">
        <f t="shared" si="17"/>
        <v>0</v>
      </c>
      <c r="K53" s="22">
        <v>0</v>
      </c>
      <c r="L53" s="21">
        <f t="shared" si="18"/>
        <v>0</v>
      </c>
      <c r="M53" s="22">
        <v>0</v>
      </c>
      <c r="N53" s="21">
        <f t="shared" si="19"/>
        <v>0</v>
      </c>
      <c r="O53" s="24">
        <v>0</v>
      </c>
      <c r="P53" s="21"/>
      <c r="Q53" s="20">
        <f t="shared" si="7"/>
        <v>100000</v>
      </c>
      <c r="R53" s="21">
        <f t="shared" si="20"/>
        <v>250000</v>
      </c>
    </row>
    <row r="54" spans="1:18" s="17" customFormat="1" ht="30" customHeight="1">
      <c r="A54" s="16">
        <v>4</v>
      </c>
      <c r="B54" s="17" t="s">
        <v>59</v>
      </c>
      <c r="C54" s="18" t="s">
        <v>10</v>
      </c>
      <c r="D54" s="38">
        <v>20000</v>
      </c>
      <c r="E54" s="19">
        <v>3</v>
      </c>
      <c r="F54" s="19">
        <f t="shared" si="15"/>
        <v>60000</v>
      </c>
      <c r="G54" s="20">
        <v>0</v>
      </c>
      <c r="H54" s="20">
        <f t="shared" si="16"/>
        <v>0</v>
      </c>
      <c r="I54" s="20">
        <v>0</v>
      </c>
      <c r="J54" s="20">
        <f t="shared" si="17"/>
        <v>0</v>
      </c>
      <c r="K54" s="22">
        <v>0</v>
      </c>
      <c r="L54" s="21">
        <f t="shared" si="18"/>
        <v>0</v>
      </c>
      <c r="M54" s="22">
        <v>0</v>
      </c>
      <c r="N54" s="21">
        <f t="shared" si="19"/>
        <v>0</v>
      </c>
      <c r="O54" s="24">
        <v>0</v>
      </c>
      <c r="P54" s="21"/>
      <c r="Q54" s="20">
        <f t="shared" si="7"/>
        <v>20000</v>
      </c>
      <c r="R54" s="21">
        <f t="shared" si="20"/>
        <v>60000</v>
      </c>
    </row>
    <row r="55" spans="1:18" s="17" customFormat="1" ht="30" customHeight="1">
      <c r="A55" s="16">
        <v>5</v>
      </c>
      <c r="B55" s="17" t="s">
        <v>24</v>
      </c>
      <c r="C55" s="18" t="s">
        <v>10</v>
      </c>
      <c r="D55" s="38">
        <v>50000</v>
      </c>
      <c r="E55" s="19">
        <v>1.5</v>
      </c>
      <c r="F55" s="19">
        <f t="shared" si="15"/>
        <v>75000</v>
      </c>
      <c r="G55" s="20">
        <v>0</v>
      </c>
      <c r="H55" s="20">
        <f t="shared" si="16"/>
        <v>0</v>
      </c>
      <c r="I55" s="20">
        <v>0</v>
      </c>
      <c r="J55" s="20">
        <f t="shared" si="17"/>
        <v>0</v>
      </c>
      <c r="K55" s="22">
        <v>0</v>
      </c>
      <c r="L55" s="21">
        <f t="shared" si="18"/>
        <v>0</v>
      </c>
      <c r="M55" s="22">
        <v>0</v>
      </c>
      <c r="N55" s="21">
        <f t="shared" si="19"/>
        <v>0</v>
      </c>
      <c r="O55" s="24">
        <v>0</v>
      </c>
      <c r="P55" s="21"/>
      <c r="Q55" s="20">
        <f t="shared" si="7"/>
        <v>50000</v>
      </c>
      <c r="R55" s="21">
        <f t="shared" si="20"/>
        <v>75000</v>
      </c>
    </row>
    <row r="56" spans="1:18" s="17" customFormat="1" ht="30" customHeight="1">
      <c r="A56" s="16">
        <v>6</v>
      </c>
      <c r="B56" s="17" t="s">
        <v>25</v>
      </c>
      <c r="C56" s="18" t="s">
        <v>10</v>
      </c>
      <c r="D56" s="38">
        <v>100000</v>
      </c>
      <c r="E56" s="19">
        <v>1.5</v>
      </c>
      <c r="F56" s="19">
        <f t="shared" si="15"/>
        <v>150000</v>
      </c>
      <c r="G56" s="20">
        <v>0</v>
      </c>
      <c r="H56" s="20">
        <f t="shared" si="16"/>
        <v>0</v>
      </c>
      <c r="I56" s="20">
        <v>0</v>
      </c>
      <c r="J56" s="20">
        <f t="shared" si="17"/>
        <v>0</v>
      </c>
      <c r="K56" s="22">
        <v>0</v>
      </c>
      <c r="L56" s="21">
        <f t="shared" si="18"/>
        <v>0</v>
      </c>
      <c r="M56" s="22">
        <v>0</v>
      </c>
      <c r="N56" s="21">
        <f t="shared" si="19"/>
        <v>0</v>
      </c>
      <c r="O56" s="24">
        <v>0</v>
      </c>
      <c r="P56" s="21"/>
      <c r="Q56" s="20">
        <f t="shared" si="7"/>
        <v>100000</v>
      </c>
      <c r="R56" s="21">
        <f t="shared" si="20"/>
        <v>150000</v>
      </c>
    </row>
    <row r="57" spans="1:18" s="17" customFormat="1" ht="30" customHeight="1">
      <c r="A57" s="16">
        <v>7</v>
      </c>
      <c r="B57" s="17" t="s">
        <v>11</v>
      </c>
      <c r="C57" s="18" t="s">
        <v>10</v>
      </c>
      <c r="D57" s="38">
        <v>20000</v>
      </c>
      <c r="E57" s="19">
        <v>4</v>
      </c>
      <c r="F57" s="19">
        <f t="shared" si="15"/>
        <v>80000</v>
      </c>
      <c r="G57" s="20">
        <v>0</v>
      </c>
      <c r="H57" s="20">
        <f t="shared" si="16"/>
        <v>0</v>
      </c>
      <c r="I57" s="20">
        <v>0</v>
      </c>
      <c r="J57" s="20">
        <f t="shared" si="17"/>
        <v>0</v>
      </c>
      <c r="K57" s="22">
        <v>0</v>
      </c>
      <c r="L57" s="21">
        <f t="shared" si="18"/>
        <v>0</v>
      </c>
      <c r="M57" s="22">
        <v>0</v>
      </c>
      <c r="N57" s="21">
        <f t="shared" si="19"/>
        <v>0</v>
      </c>
      <c r="O57" s="24">
        <v>0</v>
      </c>
      <c r="P57" s="21"/>
      <c r="Q57" s="20">
        <f t="shared" si="7"/>
        <v>20000</v>
      </c>
      <c r="R57" s="21">
        <f t="shared" si="20"/>
        <v>80000</v>
      </c>
    </row>
    <row r="58" spans="1:18" s="17" customFormat="1" ht="30" customHeight="1">
      <c r="A58" s="16">
        <v>8</v>
      </c>
      <c r="B58" s="17" t="s">
        <v>60</v>
      </c>
      <c r="C58" s="18" t="s">
        <v>12</v>
      </c>
      <c r="D58" s="38">
        <v>100000</v>
      </c>
      <c r="E58" s="19">
        <v>0.2</v>
      </c>
      <c r="F58" s="19">
        <f t="shared" si="15"/>
        <v>20000</v>
      </c>
      <c r="G58" s="20">
        <v>0</v>
      </c>
      <c r="H58" s="20">
        <f t="shared" si="16"/>
        <v>0</v>
      </c>
      <c r="I58" s="20">
        <v>0</v>
      </c>
      <c r="J58" s="20">
        <f t="shared" si="17"/>
        <v>0</v>
      </c>
      <c r="K58" s="22">
        <v>0</v>
      </c>
      <c r="L58" s="21">
        <f t="shared" si="18"/>
        <v>0</v>
      </c>
      <c r="M58" s="22">
        <v>0</v>
      </c>
      <c r="N58" s="21">
        <f t="shared" si="19"/>
        <v>0</v>
      </c>
      <c r="O58" s="24">
        <v>0</v>
      </c>
      <c r="P58" s="21"/>
      <c r="Q58" s="20">
        <f t="shared" si="7"/>
        <v>100000</v>
      </c>
      <c r="R58" s="21">
        <f t="shared" si="20"/>
        <v>20000</v>
      </c>
    </row>
    <row r="59" spans="1:18" s="17" customFormat="1" ht="30" customHeight="1">
      <c r="A59" s="16">
        <v>9</v>
      </c>
      <c r="B59" s="17" t="s">
        <v>13</v>
      </c>
      <c r="C59" s="18" t="s">
        <v>10</v>
      </c>
      <c r="D59" s="38">
        <v>120000</v>
      </c>
      <c r="E59" s="19">
        <v>4</v>
      </c>
      <c r="F59" s="19">
        <f t="shared" si="15"/>
        <v>480000</v>
      </c>
      <c r="G59" s="20">
        <v>0</v>
      </c>
      <c r="H59" s="20">
        <f t="shared" si="16"/>
        <v>0</v>
      </c>
      <c r="I59" s="20">
        <v>0</v>
      </c>
      <c r="J59" s="20">
        <f t="shared" si="17"/>
        <v>0</v>
      </c>
      <c r="K59" s="22">
        <v>0</v>
      </c>
      <c r="L59" s="21">
        <f t="shared" si="18"/>
        <v>0</v>
      </c>
      <c r="M59" s="22">
        <v>0</v>
      </c>
      <c r="N59" s="21">
        <f t="shared" si="19"/>
        <v>0</v>
      </c>
      <c r="O59" s="24">
        <v>0</v>
      </c>
      <c r="P59" s="21"/>
      <c r="Q59" s="20">
        <f t="shared" si="7"/>
        <v>120000</v>
      </c>
      <c r="R59" s="21">
        <f t="shared" si="20"/>
        <v>480000</v>
      </c>
    </row>
    <row r="60" spans="1:18" s="17" customFormat="1" ht="30" customHeight="1">
      <c r="A60" s="16">
        <v>10</v>
      </c>
      <c r="B60" s="17" t="s">
        <v>14</v>
      </c>
      <c r="C60" s="18" t="s">
        <v>15</v>
      </c>
      <c r="D60" s="37">
        <v>200000</v>
      </c>
      <c r="E60" s="23">
        <v>0.2</v>
      </c>
      <c r="F60" s="19">
        <f t="shared" si="15"/>
        <v>40000</v>
      </c>
      <c r="G60" s="20">
        <v>0</v>
      </c>
      <c r="H60" s="20">
        <f t="shared" si="16"/>
        <v>0</v>
      </c>
      <c r="I60" s="20">
        <v>17846</v>
      </c>
      <c r="J60" s="20">
        <f t="shared" si="17"/>
        <v>3569.2000000000003</v>
      </c>
      <c r="K60" s="24">
        <v>0</v>
      </c>
      <c r="L60" s="21">
        <f t="shared" si="18"/>
        <v>0</v>
      </c>
      <c r="M60" s="24">
        <v>6073</v>
      </c>
      <c r="N60" s="21">
        <f t="shared" si="19"/>
        <v>1214.6000000000001</v>
      </c>
      <c r="O60" s="24">
        <v>0</v>
      </c>
      <c r="P60" s="21"/>
      <c r="Q60" s="20">
        <f t="shared" si="7"/>
        <v>176081</v>
      </c>
      <c r="R60" s="21">
        <f t="shared" si="20"/>
        <v>35216.200000000004</v>
      </c>
    </row>
    <row r="61" spans="1:18" s="17" customFormat="1" ht="30" customHeight="1">
      <c r="A61" s="16">
        <v>11</v>
      </c>
      <c r="B61" s="17" t="s">
        <v>7</v>
      </c>
      <c r="C61" s="18" t="s">
        <v>15</v>
      </c>
      <c r="D61" s="38">
        <v>200000</v>
      </c>
      <c r="E61" s="19">
        <v>0.2</v>
      </c>
      <c r="F61" s="19">
        <f t="shared" si="15"/>
        <v>40000</v>
      </c>
      <c r="G61" s="20">
        <v>0</v>
      </c>
      <c r="H61" s="20">
        <f t="shared" si="16"/>
        <v>0</v>
      </c>
      <c r="I61" s="20">
        <v>0</v>
      </c>
      <c r="J61" s="20">
        <f t="shared" si="17"/>
        <v>0</v>
      </c>
      <c r="K61" s="22">
        <v>0</v>
      </c>
      <c r="L61" s="21">
        <f t="shared" si="18"/>
        <v>0</v>
      </c>
      <c r="M61" s="22">
        <v>0</v>
      </c>
      <c r="N61" s="21">
        <f t="shared" si="19"/>
        <v>0</v>
      </c>
      <c r="O61" s="24">
        <v>0</v>
      </c>
      <c r="P61" s="21"/>
      <c r="Q61" s="20">
        <f t="shared" si="7"/>
        <v>200000</v>
      </c>
      <c r="R61" s="21">
        <f t="shared" si="20"/>
        <v>40000</v>
      </c>
    </row>
    <row r="62" spans="1:18" s="17" customFormat="1" ht="30" customHeight="1">
      <c r="A62" s="16">
        <v>12</v>
      </c>
      <c r="B62" s="17" t="s">
        <v>6</v>
      </c>
      <c r="C62" s="18" t="s">
        <v>15</v>
      </c>
      <c r="D62" s="38">
        <v>200000</v>
      </c>
      <c r="E62" s="19">
        <v>0.2</v>
      </c>
      <c r="F62" s="19">
        <f t="shared" si="15"/>
        <v>40000</v>
      </c>
      <c r="G62" s="20">
        <v>0</v>
      </c>
      <c r="H62" s="20">
        <f t="shared" si="16"/>
        <v>0</v>
      </c>
      <c r="I62" s="20">
        <v>0</v>
      </c>
      <c r="J62" s="20">
        <f t="shared" si="17"/>
        <v>0</v>
      </c>
      <c r="K62" s="22">
        <v>0</v>
      </c>
      <c r="L62" s="21">
        <f t="shared" si="18"/>
        <v>0</v>
      </c>
      <c r="M62" s="22">
        <v>0</v>
      </c>
      <c r="N62" s="21">
        <f t="shared" si="19"/>
        <v>0</v>
      </c>
      <c r="O62" s="24">
        <v>0</v>
      </c>
      <c r="P62" s="21"/>
      <c r="Q62" s="20">
        <f t="shared" si="7"/>
        <v>200000</v>
      </c>
      <c r="R62" s="21">
        <f t="shared" si="20"/>
        <v>40000</v>
      </c>
    </row>
    <row r="63" spans="1:18" s="17" customFormat="1" ht="30" customHeight="1">
      <c r="A63" s="16">
        <v>13</v>
      </c>
      <c r="B63" s="17" t="s">
        <v>16</v>
      </c>
      <c r="C63" s="18" t="s">
        <v>9</v>
      </c>
      <c r="D63" s="38">
        <v>16000</v>
      </c>
      <c r="E63" s="19">
        <v>1.5</v>
      </c>
      <c r="F63" s="19">
        <f t="shared" si="15"/>
        <v>24000</v>
      </c>
      <c r="G63" s="20">
        <v>0</v>
      </c>
      <c r="H63" s="20">
        <f t="shared" si="16"/>
        <v>0</v>
      </c>
      <c r="I63" s="20">
        <v>0</v>
      </c>
      <c r="J63" s="20">
        <f t="shared" si="17"/>
        <v>0</v>
      </c>
      <c r="K63" s="22">
        <v>0</v>
      </c>
      <c r="L63" s="21">
        <f t="shared" si="18"/>
        <v>0</v>
      </c>
      <c r="M63" s="22">
        <v>0</v>
      </c>
      <c r="N63" s="21">
        <f t="shared" si="19"/>
        <v>0</v>
      </c>
      <c r="O63" s="24">
        <v>0</v>
      </c>
      <c r="P63" s="21"/>
      <c r="Q63" s="20">
        <f t="shared" si="7"/>
        <v>16000</v>
      </c>
      <c r="R63" s="21">
        <f t="shared" si="20"/>
        <v>24000</v>
      </c>
    </row>
    <row r="64" spans="1:18" s="17" customFormat="1" ht="30" customHeight="1">
      <c r="A64" s="16">
        <v>14</v>
      </c>
      <c r="B64" s="17" t="s">
        <v>17</v>
      </c>
      <c r="C64" s="18" t="s">
        <v>9</v>
      </c>
      <c r="D64" s="38">
        <v>36000</v>
      </c>
      <c r="E64" s="19">
        <v>1.2</v>
      </c>
      <c r="F64" s="19">
        <f t="shared" si="15"/>
        <v>43200</v>
      </c>
      <c r="G64" s="20">
        <v>0</v>
      </c>
      <c r="H64" s="20">
        <f t="shared" si="16"/>
        <v>0</v>
      </c>
      <c r="I64" s="20">
        <v>0</v>
      </c>
      <c r="J64" s="20">
        <f t="shared" si="17"/>
        <v>0</v>
      </c>
      <c r="K64" s="22">
        <v>0</v>
      </c>
      <c r="L64" s="21">
        <f t="shared" si="18"/>
        <v>0</v>
      </c>
      <c r="M64" s="22">
        <v>19444</v>
      </c>
      <c r="N64" s="21">
        <f t="shared" si="19"/>
        <v>23332.799999999999</v>
      </c>
      <c r="O64" s="24">
        <v>0</v>
      </c>
      <c r="P64" s="21"/>
      <c r="Q64" s="20">
        <f t="shared" si="7"/>
        <v>16556</v>
      </c>
      <c r="R64" s="21">
        <f t="shared" si="20"/>
        <v>19867.2</v>
      </c>
    </row>
    <row r="65" spans="1:18" s="17" customFormat="1" ht="30" customHeight="1">
      <c r="A65" s="16">
        <v>15</v>
      </c>
      <c r="B65" s="17" t="s">
        <v>61</v>
      </c>
      <c r="C65" s="18" t="s">
        <v>15</v>
      </c>
      <c r="D65" s="38">
        <v>100000</v>
      </c>
      <c r="E65" s="19">
        <v>0.5</v>
      </c>
      <c r="F65" s="19">
        <f t="shared" si="15"/>
        <v>50000</v>
      </c>
      <c r="G65" s="20">
        <v>0</v>
      </c>
      <c r="H65" s="20">
        <f t="shared" si="16"/>
        <v>0</v>
      </c>
      <c r="I65" s="20">
        <v>0</v>
      </c>
      <c r="J65" s="20">
        <f t="shared" si="17"/>
        <v>0</v>
      </c>
      <c r="K65" s="22">
        <v>0</v>
      </c>
      <c r="L65" s="21">
        <f t="shared" si="18"/>
        <v>0</v>
      </c>
      <c r="M65" s="22">
        <v>0</v>
      </c>
      <c r="N65" s="21">
        <f t="shared" si="19"/>
        <v>0</v>
      </c>
      <c r="O65" s="24">
        <v>0</v>
      </c>
      <c r="P65" s="21"/>
      <c r="Q65" s="20">
        <f t="shared" si="7"/>
        <v>100000</v>
      </c>
      <c r="R65" s="21">
        <f t="shared" si="20"/>
        <v>50000</v>
      </c>
    </row>
    <row r="66" spans="1:18" s="17" customFormat="1" ht="30" customHeight="1">
      <c r="A66" s="16">
        <v>16</v>
      </c>
      <c r="B66" s="17" t="s">
        <v>18</v>
      </c>
      <c r="C66" s="18" t="s">
        <v>15</v>
      </c>
      <c r="D66" s="38">
        <v>50000</v>
      </c>
      <c r="E66" s="19">
        <v>4</v>
      </c>
      <c r="F66" s="19">
        <f t="shared" si="15"/>
        <v>200000</v>
      </c>
      <c r="G66" s="20">
        <v>0</v>
      </c>
      <c r="H66" s="20">
        <f t="shared" si="16"/>
        <v>0</v>
      </c>
      <c r="I66" s="20">
        <v>6871</v>
      </c>
      <c r="J66" s="20">
        <f t="shared" si="17"/>
        <v>27484</v>
      </c>
      <c r="K66" s="22">
        <v>0</v>
      </c>
      <c r="L66" s="21">
        <f t="shared" si="18"/>
        <v>0</v>
      </c>
      <c r="M66" s="22">
        <v>0</v>
      </c>
      <c r="N66" s="21">
        <f t="shared" si="19"/>
        <v>0</v>
      </c>
      <c r="O66" s="24">
        <v>0</v>
      </c>
      <c r="P66" s="21"/>
      <c r="Q66" s="20">
        <f t="shared" si="7"/>
        <v>43129</v>
      </c>
      <c r="R66" s="21">
        <f t="shared" si="20"/>
        <v>172516</v>
      </c>
    </row>
    <row r="67" spans="1:18" s="17" customFormat="1" ht="30" customHeight="1">
      <c r="A67" s="16">
        <v>17</v>
      </c>
      <c r="B67" s="17" t="s">
        <v>109</v>
      </c>
      <c r="C67" s="18" t="s">
        <v>15</v>
      </c>
      <c r="D67" s="37">
        <v>100000</v>
      </c>
      <c r="E67" s="23">
        <v>4</v>
      </c>
      <c r="F67" s="19">
        <f t="shared" si="15"/>
        <v>400000</v>
      </c>
      <c r="G67" s="20">
        <v>0</v>
      </c>
      <c r="H67" s="20">
        <f t="shared" si="16"/>
        <v>0</v>
      </c>
      <c r="I67" s="20">
        <v>0</v>
      </c>
      <c r="J67" s="20">
        <f t="shared" si="17"/>
        <v>0</v>
      </c>
      <c r="K67" s="24">
        <v>0</v>
      </c>
      <c r="L67" s="21">
        <f t="shared" si="18"/>
        <v>0</v>
      </c>
      <c r="M67" s="24">
        <v>0</v>
      </c>
      <c r="N67" s="21">
        <f t="shared" si="19"/>
        <v>0</v>
      </c>
      <c r="O67" s="24">
        <v>0</v>
      </c>
      <c r="P67" s="21"/>
      <c r="Q67" s="20">
        <f t="shared" si="7"/>
        <v>100000</v>
      </c>
      <c r="R67" s="21">
        <f t="shared" si="20"/>
        <v>400000</v>
      </c>
    </row>
    <row r="68" spans="1:18" s="17" customFormat="1" ht="30" customHeight="1">
      <c r="A68" s="16">
        <v>18</v>
      </c>
      <c r="B68" s="17" t="s">
        <v>19</v>
      </c>
      <c r="C68" s="18" t="s">
        <v>15</v>
      </c>
      <c r="D68" s="37">
        <v>200000</v>
      </c>
      <c r="E68" s="23">
        <v>0.1</v>
      </c>
      <c r="F68" s="19">
        <f t="shared" si="15"/>
        <v>20000</v>
      </c>
      <c r="G68" s="20">
        <v>0</v>
      </c>
      <c r="H68" s="20">
        <f t="shared" si="16"/>
        <v>0</v>
      </c>
      <c r="I68" s="20">
        <v>26059</v>
      </c>
      <c r="J68" s="20">
        <f t="shared" si="17"/>
        <v>2605.9</v>
      </c>
      <c r="K68" s="24">
        <v>118989</v>
      </c>
      <c r="L68" s="21">
        <f t="shared" si="18"/>
        <v>11898.900000000001</v>
      </c>
      <c r="M68" s="24">
        <v>43360</v>
      </c>
      <c r="N68" s="21">
        <f t="shared" si="19"/>
        <v>4336</v>
      </c>
      <c r="O68" s="24">
        <v>0</v>
      </c>
      <c r="P68" s="21"/>
      <c r="Q68" s="20">
        <f t="shared" si="7"/>
        <v>11592</v>
      </c>
      <c r="R68" s="21">
        <f t="shared" si="20"/>
        <v>1159.2</v>
      </c>
    </row>
    <row r="69" spans="1:18" s="17" customFormat="1" ht="30" customHeight="1">
      <c r="A69" s="16">
        <v>19</v>
      </c>
      <c r="B69" s="17" t="s">
        <v>20</v>
      </c>
      <c r="C69" s="18" t="s">
        <v>15</v>
      </c>
      <c r="D69" s="37">
        <v>200000</v>
      </c>
      <c r="E69" s="23">
        <v>1.2</v>
      </c>
      <c r="F69" s="19">
        <f t="shared" si="15"/>
        <v>240000</v>
      </c>
      <c r="G69" s="20">
        <v>0</v>
      </c>
      <c r="H69" s="20">
        <f t="shared" si="16"/>
        <v>0</v>
      </c>
      <c r="I69" s="20">
        <v>0</v>
      </c>
      <c r="J69" s="20">
        <f t="shared" si="17"/>
        <v>0</v>
      </c>
      <c r="K69" s="24">
        <v>0</v>
      </c>
      <c r="L69" s="21">
        <f t="shared" si="18"/>
        <v>0</v>
      </c>
      <c r="M69" s="24">
        <v>0</v>
      </c>
      <c r="N69" s="21">
        <f t="shared" si="19"/>
        <v>0</v>
      </c>
      <c r="O69" s="24">
        <v>38105</v>
      </c>
      <c r="P69" s="21"/>
      <c r="Q69" s="20">
        <f t="shared" si="7"/>
        <v>161895</v>
      </c>
      <c r="R69" s="21">
        <f t="shared" si="20"/>
        <v>194274</v>
      </c>
    </row>
    <row r="70" spans="1:18" s="17" customFormat="1" ht="30" customHeight="1">
      <c r="A70" s="16">
        <v>20</v>
      </c>
      <c r="B70" s="17" t="s">
        <v>62</v>
      </c>
      <c r="C70" s="18" t="s">
        <v>15</v>
      </c>
      <c r="D70" s="37">
        <v>50000</v>
      </c>
      <c r="E70" s="23">
        <v>1.2</v>
      </c>
      <c r="F70" s="19">
        <f t="shared" si="15"/>
        <v>60000</v>
      </c>
      <c r="G70" s="20">
        <v>0</v>
      </c>
      <c r="H70" s="20">
        <f t="shared" si="16"/>
        <v>0</v>
      </c>
      <c r="I70" s="20">
        <v>0</v>
      </c>
      <c r="J70" s="20">
        <f t="shared" si="17"/>
        <v>0</v>
      </c>
      <c r="K70" s="24">
        <v>0</v>
      </c>
      <c r="L70" s="21">
        <f t="shared" si="18"/>
        <v>0</v>
      </c>
      <c r="M70" s="24">
        <v>0</v>
      </c>
      <c r="N70" s="21">
        <f t="shared" si="19"/>
        <v>0</v>
      </c>
      <c r="O70" s="24">
        <v>0</v>
      </c>
      <c r="P70" s="21"/>
      <c r="Q70" s="20">
        <f t="shared" si="7"/>
        <v>50000</v>
      </c>
      <c r="R70" s="21">
        <f t="shared" si="20"/>
        <v>60000</v>
      </c>
    </row>
    <row r="71" spans="1:18" s="17" customFormat="1" ht="30" customHeight="1">
      <c r="A71" s="16">
        <v>21</v>
      </c>
      <c r="B71" s="17" t="s">
        <v>67</v>
      </c>
      <c r="C71" s="18" t="s">
        <v>10</v>
      </c>
      <c r="D71" s="38">
        <v>3000</v>
      </c>
      <c r="E71" s="23">
        <v>0.5</v>
      </c>
      <c r="F71" s="19">
        <f t="shared" si="15"/>
        <v>1500</v>
      </c>
      <c r="G71" s="20">
        <v>0</v>
      </c>
      <c r="H71" s="20">
        <f t="shared" si="16"/>
        <v>0</v>
      </c>
      <c r="I71" s="20">
        <v>0</v>
      </c>
      <c r="J71" s="20">
        <f t="shared" si="17"/>
        <v>0</v>
      </c>
      <c r="K71" s="22">
        <v>0</v>
      </c>
      <c r="L71" s="21">
        <f t="shared" si="18"/>
        <v>0</v>
      </c>
      <c r="M71" s="22">
        <v>0</v>
      </c>
      <c r="N71" s="21">
        <f t="shared" si="19"/>
        <v>0</v>
      </c>
      <c r="O71" s="24">
        <v>0</v>
      </c>
      <c r="P71" s="21"/>
      <c r="Q71" s="20">
        <f t="shared" si="7"/>
        <v>3000</v>
      </c>
      <c r="R71" s="21">
        <f t="shared" si="20"/>
        <v>1500</v>
      </c>
    </row>
    <row r="72" spans="1:18" s="17" customFormat="1" ht="30" customHeight="1">
      <c r="A72" s="16">
        <v>22</v>
      </c>
      <c r="B72" s="17" t="s">
        <v>21</v>
      </c>
      <c r="C72" s="18" t="s">
        <v>15</v>
      </c>
      <c r="D72" s="38">
        <v>200000</v>
      </c>
      <c r="E72" s="19">
        <v>0.2</v>
      </c>
      <c r="F72" s="19">
        <f t="shared" si="15"/>
        <v>40000</v>
      </c>
      <c r="G72" s="20">
        <v>0</v>
      </c>
      <c r="H72" s="20">
        <f t="shared" si="16"/>
        <v>0</v>
      </c>
      <c r="I72" s="20">
        <v>0</v>
      </c>
      <c r="J72" s="20">
        <f t="shared" si="17"/>
        <v>0</v>
      </c>
      <c r="K72" s="22">
        <v>0</v>
      </c>
      <c r="L72" s="21">
        <f t="shared" si="18"/>
        <v>0</v>
      </c>
      <c r="M72" s="22">
        <v>0</v>
      </c>
      <c r="N72" s="21">
        <f t="shared" si="19"/>
        <v>0</v>
      </c>
      <c r="O72" s="24">
        <v>0</v>
      </c>
      <c r="P72" s="21"/>
      <c r="Q72" s="20">
        <f t="shared" si="7"/>
        <v>200000</v>
      </c>
      <c r="R72" s="21">
        <f t="shared" si="20"/>
        <v>40000</v>
      </c>
    </row>
    <row r="73" spans="1:18" s="17" customFormat="1" ht="30" customHeight="1">
      <c r="A73" s="16">
        <v>23</v>
      </c>
      <c r="B73" s="17" t="s">
        <v>22</v>
      </c>
      <c r="C73" s="18" t="s">
        <v>15</v>
      </c>
      <c r="D73" s="38">
        <v>560000</v>
      </c>
      <c r="E73" s="19">
        <v>0.1</v>
      </c>
      <c r="F73" s="19">
        <f t="shared" si="15"/>
        <v>56000</v>
      </c>
      <c r="G73" s="20">
        <v>0</v>
      </c>
      <c r="H73" s="20">
        <f t="shared" si="16"/>
        <v>0</v>
      </c>
      <c r="I73" s="20">
        <v>0</v>
      </c>
      <c r="J73" s="20">
        <f t="shared" si="17"/>
        <v>0</v>
      </c>
      <c r="K73" s="22">
        <v>0</v>
      </c>
      <c r="L73" s="21">
        <f t="shared" si="18"/>
        <v>0</v>
      </c>
      <c r="M73" s="22">
        <v>0</v>
      </c>
      <c r="N73" s="21">
        <f t="shared" si="19"/>
        <v>0</v>
      </c>
      <c r="O73" s="24">
        <v>0</v>
      </c>
      <c r="P73" s="21"/>
      <c r="Q73" s="20">
        <f t="shared" si="7"/>
        <v>560000</v>
      </c>
      <c r="R73" s="21">
        <f t="shared" si="20"/>
        <v>56000</v>
      </c>
    </row>
    <row r="74" spans="1:18" s="17" customFormat="1" ht="30" customHeight="1">
      <c r="A74" s="16">
        <v>24</v>
      </c>
      <c r="B74" s="17" t="s">
        <v>23</v>
      </c>
      <c r="C74" s="18" t="s">
        <v>15</v>
      </c>
      <c r="D74" s="38">
        <v>560000</v>
      </c>
      <c r="E74" s="19">
        <v>0.1</v>
      </c>
      <c r="F74" s="19">
        <f t="shared" si="15"/>
        <v>56000</v>
      </c>
      <c r="G74" s="20">
        <v>0</v>
      </c>
      <c r="H74" s="20">
        <f t="shared" si="16"/>
        <v>0</v>
      </c>
      <c r="I74" s="20">
        <v>13413</v>
      </c>
      <c r="J74" s="20">
        <f t="shared" si="17"/>
        <v>1341.3000000000002</v>
      </c>
      <c r="K74" s="22">
        <v>0</v>
      </c>
      <c r="L74" s="21">
        <f t="shared" si="18"/>
        <v>0</v>
      </c>
      <c r="M74" s="22">
        <v>0</v>
      </c>
      <c r="N74" s="21">
        <f t="shared" si="19"/>
        <v>0</v>
      </c>
      <c r="O74" s="24">
        <v>0</v>
      </c>
      <c r="P74" s="21"/>
      <c r="Q74" s="20">
        <f t="shared" si="7"/>
        <v>546587</v>
      </c>
      <c r="R74" s="21">
        <f t="shared" si="20"/>
        <v>54658.700000000004</v>
      </c>
    </row>
    <row r="75" spans="1:18" s="41" customFormat="1" ht="30" customHeight="1">
      <c r="A75" s="16">
        <v>25</v>
      </c>
      <c r="B75" s="17" t="s">
        <v>26</v>
      </c>
      <c r="C75" s="18" t="s">
        <v>9</v>
      </c>
      <c r="D75" s="38">
        <v>4000</v>
      </c>
      <c r="E75" s="19">
        <v>3</v>
      </c>
      <c r="F75" s="19">
        <f t="shared" si="15"/>
        <v>12000</v>
      </c>
      <c r="G75" s="39">
        <v>0</v>
      </c>
      <c r="H75" s="20">
        <f t="shared" si="16"/>
        <v>0</v>
      </c>
      <c r="I75" s="39">
        <v>0</v>
      </c>
      <c r="J75" s="20">
        <f t="shared" si="17"/>
        <v>0</v>
      </c>
      <c r="K75" s="40">
        <v>0</v>
      </c>
      <c r="L75" s="21">
        <f t="shared" si="18"/>
        <v>0</v>
      </c>
      <c r="M75" s="40">
        <v>0</v>
      </c>
      <c r="N75" s="21">
        <f t="shared" si="19"/>
        <v>0</v>
      </c>
      <c r="O75" s="24">
        <v>0</v>
      </c>
      <c r="P75" s="21"/>
      <c r="Q75" s="20">
        <f t="shared" si="7"/>
        <v>4000</v>
      </c>
      <c r="R75" s="21">
        <f t="shared" si="20"/>
        <v>12000</v>
      </c>
    </row>
    <row r="76" spans="1:18" s="41" customFormat="1" ht="30" customHeight="1">
      <c r="A76" s="16">
        <v>26</v>
      </c>
      <c r="B76" s="17" t="s">
        <v>27</v>
      </c>
      <c r="C76" s="18" t="s">
        <v>9</v>
      </c>
      <c r="D76" s="38">
        <v>320000</v>
      </c>
      <c r="E76" s="19">
        <v>0.1</v>
      </c>
      <c r="F76" s="19">
        <f t="shared" si="15"/>
        <v>32000</v>
      </c>
      <c r="G76" s="39">
        <v>0</v>
      </c>
      <c r="H76" s="20">
        <f t="shared" ref="H76:H82" si="21">G76*E76</f>
        <v>0</v>
      </c>
      <c r="I76" s="39">
        <v>703</v>
      </c>
      <c r="J76" s="20">
        <f t="shared" ref="J76:J82" si="22">I76*E76</f>
        <v>70.3</v>
      </c>
      <c r="K76" s="40">
        <v>0</v>
      </c>
      <c r="L76" s="21">
        <f t="shared" ref="L76:L82" si="23">K76*E76</f>
        <v>0</v>
      </c>
      <c r="M76" s="40">
        <v>36</v>
      </c>
      <c r="N76" s="21">
        <f t="shared" ref="N76:N82" si="24">M76*E76</f>
        <v>3.6</v>
      </c>
      <c r="O76" s="24">
        <v>0</v>
      </c>
      <c r="P76" s="21"/>
      <c r="Q76" s="20">
        <f t="shared" ref="Q76:Q82" si="25">D76-G76-I76-K76-M76-O76</f>
        <v>319261</v>
      </c>
      <c r="R76" s="21">
        <f t="shared" ref="R76:R82" si="26">Q76*E76</f>
        <v>31926.100000000002</v>
      </c>
    </row>
    <row r="77" spans="1:18" s="41" customFormat="1" ht="30" customHeight="1">
      <c r="A77" s="16">
        <v>27</v>
      </c>
      <c r="B77" s="17" t="s">
        <v>28</v>
      </c>
      <c r="C77" s="18" t="s">
        <v>54</v>
      </c>
      <c r="D77" s="38">
        <v>40000</v>
      </c>
      <c r="E77" s="19">
        <v>0.1</v>
      </c>
      <c r="F77" s="19">
        <f t="shared" si="15"/>
        <v>4000</v>
      </c>
      <c r="G77" s="39">
        <v>0</v>
      </c>
      <c r="H77" s="20">
        <f t="shared" si="21"/>
        <v>0</v>
      </c>
      <c r="I77" s="39">
        <v>0</v>
      </c>
      <c r="J77" s="20">
        <f t="shared" si="22"/>
        <v>0</v>
      </c>
      <c r="K77" s="40">
        <v>0</v>
      </c>
      <c r="L77" s="21">
        <f t="shared" si="23"/>
        <v>0</v>
      </c>
      <c r="M77" s="40">
        <v>0</v>
      </c>
      <c r="N77" s="21">
        <f t="shared" si="24"/>
        <v>0</v>
      </c>
      <c r="O77" s="24">
        <v>0</v>
      </c>
      <c r="P77" s="21"/>
      <c r="Q77" s="20">
        <f t="shared" si="25"/>
        <v>40000</v>
      </c>
      <c r="R77" s="21">
        <f t="shared" si="26"/>
        <v>4000</v>
      </c>
    </row>
    <row r="78" spans="1:18" s="41" customFormat="1" ht="30" customHeight="1">
      <c r="A78" s="16">
        <v>28</v>
      </c>
      <c r="B78" s="17" t="s">
        <v>29</v>
      </c>
      <c r="C78" s="18" t="s">
        <v>10</v>
      </c>
      <c r="D78" s="38">
        <v>100000</v>
      </c>
      <c r="E78" s="19">
        <v>1.1000000000000001</v>
      </c>
      <c r="F78" s="19">
        <f t="shared" si="15"/>
        <v>110000.00000000001</v>
      </c>
      <c r="G78" s="39">
        <v>0</v>
      </c>
      <c r="H78" s="20">
        <f t="shared" si="21"/>
        <v>0</v>
      </c>
      <c r="I78" s="39">
        <v>1112</v>
      </c>
      <c r="J78" s="20">
        <f t="shared" si="22"/>
        <v>1223.2</v>
      </c>
      <c r="K78" s="40">
        <v>0</v>
      </c>
      <c r="L78" s="21">
        <f t="shared" si="23"/>
        <v>0</v>
      </c>
      <c r="M78" s="40">
        <v>0</v>
      </c>
      <c r="N78" s="21">
        <f t="shared" si="24"/>
        <v>0</v>
      </c>
      <c r="O78" s="24">
        <v>0</v>
      </c>
      <c r="P78" s="21"/>
      <c r="Q78" s="20">
        <f t="shared" si="25"/>
        <v>98888</v>
      </c>
      <c r="R78" s="21">
        <f t="shared" si="26"/>
        <v>108776.8</v>
      </c>
    </row>
    <row r="79" spans="1:18" s="41" customFormat="1" ht="30" customHeight="1">
      <c r="A79" s="16">
        <v>29</v>
      </c>
      <c r="B79" s="17" t="s">
        <v>30</v>
      </c>
      <c r="C79" s="18" t="s">
        <v>9</v>
      </c>
      <c r="D79" s="38">
        <v>800</v>
      </c>
      <c r="E79" s="19">
        <v>1.5</v>
      </c>
      <c r="F79" s="19">
        <f t="shared" si="15"/>
        <v>1200</v>
      </c>
      <c r="G79" s="39">
        <v>0</v>
      </c>
      <c r="H79" s="20">
        <f t="shared" si="21"/>
        <v>0</v>
      </c>
      <c r="I79" s="39">
        <v>0</v>
      </c>
      <c r="J79" s="20">
        <f t="shared" si="22"/>
        <v>0</v>
      </c>
      <c r="K79" s="40">
        <v>0</v>
      </c>
      <c r="L79" s="21">
        <f t="shared" si="23"/>
        <v>0</v>
      </c>
      <c r="M79" s="40">
        <v>0</v>
      </c>
      <c r="N79" s="21">
        <f t="shared" si="24"/>
        <v>0</v>
      </c>
      <c r="O79" s="24">
        <v>0</v>
      </c>
      <c r="P79" s="21"/>
      <c r="Q79" s="20">
        <f t="shared" si="25"/>
        <v>800</v>
      </c>
      <c r="R79" s="21">
        <f t="shared" si="26"/>
        <v>1200</v>
      </c>
    </row>
    <row r="80" spans="1:18" s="41" customFormat="1" ht="30" customHeight="1">
      <c r="A80" s="16">
        <v>30</v>
      </c>
      <c r="B80" s="17" t="s">
        <v>31</v>
      </c>
      <c r="C80" s="18" t="s">
        <v>9</v>
      </c>
      <c r="D80" s="38">
        <v>8000</v>
      </c>
      <c r="E80" s="19">
        <v>0.25</v>
      </c>
      <c r="F80" s="19">
        <f t="shared" si="15"/>
        <v>2000</v>
      </c>
      <c r="G80" s="39">
        <v>0</v>
      </c>
      <c r="H80" s="20">
        <f t="shared" si="21"/>
        <v>0</v>
      </c>
      <c r="I80" s="39">
        <v>0</v>
      </c>
      <c r="J80" s="20">
        <f t="shared" si="22"/>
        <v>0</v>
      </c>
      <c r="K80" s="40">
        <v>0</v>
      </c>
      <c r="L80" s="21">
        <f t="shared" si="23"/>
        <v>0</v>
      </c>
      <c r="M80" s="40">
        <v>0</v>
      </c>
      <c r="N80" s="21">
        <f t="shared" si="24"/>
        <v>0</v>
      </c>
      <c r="O80" s="24">
        <v>0</v>
      </c>
      <c r="P80" s="21"/>
      <c r="Q80" s="20">
        <f t="shared" si="25"/>
        <v>8000</v>
      </c>
      <c r="R80" s="21">
        <f t="shared" si="26"/>
        <v>2000</v>
      </c>
    </row>
    <row r="81" spans="1:18" s="41" customFormat="1" ht="30" customHeight="1">
      <c r="A81" s="16">
        <v>31</v>
      </c>
      <c r="B81" s="17" t="s">
        <v>32</v>
      </c>
      <c r="C81" s="18" t="s">
        <v>9</v>
      </c>
      <c r="D81" s="38">
        <v>2000</v>
      </c>
      <c r="E81" s="19">
        <v>2.5</v>
      </c>
      <c r="F81" s="19">
        <f t="shared" si="15"/>
        <v>5000</v>
      </c>
      <c r="G81" s="39">
        <v>0</v>
      </c>
      <c r="H81" s="20">
        <f t="shared" si="21"/>
        <v>0</v>
      </c>
      <c r="I81" s="39">
        <v>0</v>
      </c>
      <c r="J81" s="20">
        <f t="shared" si="22"/>
        <v>0</v>
      </c>
      <c r="K81" s="40">
        <v>0</v>
      </c>
      <c r="L81" s="21">
        <f t="shared" si="23"/>
        <v>0</v>
      </c>
      <c r="M81" s="40">
        <v>0</v>
      </c>
      <c r="N81" s="21">
        <f t="shared" si="24"/>
        <v>0</v>
      </c>
      <c r="O81" s="24">
        <v>0</v>
      </c>
      <c r="P81" s="21"/>
      <c r="Q81" s="20">
        <f t="shared" si="25"/>
        <v>2000</v>
      </c>
      <c r="R81" s="21">
        <f t="shared" si="26"/>
        <v>5000</v>
      </c>
    </row>
    <row r="82" spans="1:18" s="41" customFormat="1" ht="30" customHeight="1">
      <c r="A82" s="16">
        <v>32</v>
      </c>
      <c r="B82" s="17" t="s">
        <v>33</v>
      </c>
      <c r="C82" s="18" t="s">
        <v>8</v>
      </c>
      <c r="D82" s="38">
        <v>50000</v>
      </c>
      <c r="E82" s="19">
        <v>0.2</v>
      </c>
      <c r="F82" s="19">
        <f t="shared" si="15"/>
        <v>10000</v>
      </c>
      <c r="G82" s="39">
        <v>0</v>
      </c>
      <c r="H82" s="20">
        <f t="shared" si="21"/>
        <v>0</v>
      </c>
      <c r="I82" s="39">
        <v>0</v>
      </c>
      <c r="J82" s="20">
        <f t="shared" si="22"/>
        <v>0</v>
      </c>
      <c r="K82" s="40">
        <v>0</v>
      </c>
      <c r="L82" s="21">
        <f t="shared" si="23"/>
        <v>0</v>
      </c>
      <c r="M82" s="40">
        <v>0</v>
      </c>
      <c r="N82" s="21">
        <f t="shared" si="24"/>
        <v>0</v>
      </c>
      <c r="O82" s="24">
        <v>0</v>
      </c>
      <c r="P82" s="21"/>
      <c r="Q82" s="20">
        <f t="shared" si="25"/>
        <v>50000</v>
      </c>
      <c r="R82" s="21">
        <f t="shared" si="26"/>
        <v>10000</v>
      </c>
    </row>
    <row r="83" spans="1:18" s="41" customFormat="1" ht="30" customHeight="1">
      <c r="A83" s="16">
        <v>33</v>
      </c>
      <c r="B83" s="17" t="s">
        <v>34</v>
      </c>
      <c r="C83" s="18" t="s">
        <v>9</v>
      </c>
      <c r="D83" s="38">
        <v>4000</v>
      </c>
      <c r="E83" s="19">
        <v>1.5</v>
      </c>
      <c r="F83" s="19">
        <f t="shared" si="15"/>
        <v>6000</v>
      </c>
      <c r="G83" s="39">
        <v>0</v>
      </c>
      <c r="H83" s="20">
        <f t="shared" si="16"/>
        <v>0</v>
      </c>
      <c r="I83" s="39">
        <v>0</v>
      </c>
      <c r="J83" s="20">
        <f t="shared" si="17"/>
        <v>0</v>
      </c>
      <c r="K83" s="40">
        <v>0</v>
      </c>
      <c r="L83" s="21">
        <f t="shared" si="18"/>
        <v>0</v>
      </c>
      <c r="M83" s="40">
        <v>0</v>
      </c>
      <c r="N83" s="21">
        <f t="shared" si="19"/>
        <v>0</v>
      </c>
      <c r="O83" s="24">
        <v>0</v>
      </c>
      <c r="P83" s="21"/>
      <c r="Q83" s="20">
        <f t="shared" si="7"/>
        <v>4000</v>
      </c>
      <c r="R83" s="21">
        <f t="shared" si="20"/>
        <v>6000</v>
      </c>
    </row>
    <row r="84" spans="1:18" s="41" customFormat="1" ht="30" customHeight="1">
      <c r="A84" s="16">
        <v>34</v>
      </c>
      <c r="B84" s="17" t="s">
        <v>35</v>
      </c>
      <c r="C84" s="18" t="s">
        <v>15</v>
      </c>
      <c r="D84" s="38">
        <v>200000</v>
      </c>
      <c r="E84" s="19">
        <v>0.1</v>
      </c>
      <c r="F84" s="19">
        <f t="shared" si="15"/>
        <v>20000</v>
      </c>
      <c r="G84" s="39">
        <v>0</v>
      </c>
      <c r="H84" s="20">
        <f t="shared" si="16"/>
        <v>0</v>
      </c>
      <c r="I84" s="39">
        <v>0</v>
      </c>
      <c r="J84" s="20">
        <f t="shared" si="17"/>
        <v>0</v>
      </c>
      <c r="K84" s="40">
        <v>0</v>
      </c>
      <c r="L84" s="21">
        <f t="shared" si="18"/>
        <v>0</v>
      </c>
      <c r="M84" s="40">
        <v>0</v>
      </c>
      <c r="N84" s="21">
        <f t="shared" si="19"/>
        <v>0</v>
      </c>
      <c r="O84" s="24">
        <v>0</v>
      </c>
      <c r="P84" s="21"/>
      <c r="Q84" s="20">
        <f t="shared" si="7"/>
        <v>200000</v>
      </c>
      <c r="R84" s="21">
        <f t="shared" si="20"/>
        <v>20000</v>
      </c>
    </row>
    <row r="85" spans="1:18" s="41" customFormat="1" ht="30" customHeight="1">
      <c r="A85" s="16">
        <v>35</v>
      </c>
      <c r="B85" s="17" t="s">
        <v>63</v>
      </c>
      <c r="C85" s="18" t="s">
        <v>55</v>
      </c>
      <c r="D85" s="38">
        <v>100000</v>
      </c>
      <c r="E85" s="19">
        <v>0.2</v>
      </c>
      <c r="F85" s="19">
        <f t="shared" si="15"/>
        <v>20000</v>
      </c>
      <c r="G85" s="39">
        <v>0</v>
      </c>
      <c r="H85" s="20">
        <f t="shared" si="16"/>
        <v>0</v>
      </c>
      <c r="I85" s="39">
        <v>0</v>
      </c>
      <c r="J85" s="20">
        <f t="shared" si="17"/>
        <v>0</v>
      </c>
      <c r="K85" s="40">
        <v>0</v>
      </c>
      <c r="L85" s="21">
        <f t="shared" si="18"/>
        <v>0</v>
      </c>
      <c r="M85" s="40">
        <v>0</v>
      </c>
      <c r="N85" s="21">
        <f t="shared" si="19"/>
        <v>0</v>
      </c>
      <c r="O85" s="24">
        <v>0</v>
      </c>
      <c r="P85" s="21"/>
      <c r="Q85" s="20">
        <f t="shared" si="7"/>
        <v>100000</v>
      </c>
      <c r="R85" s="21">
        <f t="shared" si="20"/>
        <v>20000</v>
      </c>
    </row>
    <row r="86" spans="1:18" s="41" customFormat="1" ht="30" customHeight="1">
      <c r="A86" s="16">
        <v>36</v>
      </c>
      <c r="B86" s="17" t="s">
        <v>53</v>
      </c>
      <c r="C86" s="18" t="s">
        <v>55</v>
      </c>
      <c r="D86" s="38">
        <v>400000</v>
      </c>
      <c r="E86" s="19">
        <v>0.1</v>
      </c>
      <c r="F86" s="19">
        <f t="shared" si="15"/>
        <v>40000</v>
      </c>
      <c r="G86" s="39">
        <v>0</v>
      </c>
      <c r="H86" s="20">
        <f t="shared" si="16"/>
        <v>0</v>
      </c>
      <c r="I86" s="39">
        <v>0</v>
      </c>
      <c r="J86" s="20">
        <f t="shared" si="17"/>
        <v>0</v>
      </c>
      <c r="K86" s="40">
        <v>0</v>
      </c>
      <c r="L86" s="21">
        <f t="shared" si="18"/>
        <v>0</v>
      </c>
      <c r="M86" s="40">
        <v>0</v>
      </c>
      <c r="N86" s="21">
        <f t="shared" si="19"/>
        <v>0</v>
      </c>
      <c r="O86" s="24">
        <v>0</v>
      </c>
      <c r="P86" s="21"/>
      <c r="Q86" s="20">
        <f t="shared" si="7"/>
        <v>400000</v>
      </c>
      <c r="R86" s="21">
        <f t="shared" si="20"/>
        <v>40000</v>
      </c>
    </row>
    <row r="87" spans="1:18" s="41" customFormat="1" ht="30" customHeight="1">
      <c r="A87" s="16">
        <v>37</v>
      </c>
      <c r="B87" s="17" t="s">
        <v>64</v>
      </c>
      <c r="C87" s="18" t="s">
        <v>65</v>
      </c>
      <c r="D87" s="38">
        <v>3000</v>
      </c>
      <c r="E87" s="19">
        <v>2.5</v>
      </c>
      <c r="F87" s="19">
        <f t="shared" ref="F87:F94" si="27">E87*D87</f>
        <v>7500</v>
      </c>
      <c r="G87" s="39">
        <v>0</v>
      </c>
      <c r="H87" s="20">
        <f t="shared" ref="H87:H94" si="28">G87*E87</f>
        <v>0</v>
      </c>
      <c r="I87" s="39">
        <v>0</v>
      </c>
      <c r="J87" s="20">
        <f t="shared" ref="J87:J94" si="29">I87*E87</f>
        <v>0</v>
      </c>
      <c r="K87" s="40">
        <v>0</v>
      </c>
      <c r="L87" s="21">
        <f t="shared" ref="L87:L94" si="30">K87*E87</f>
        <v>0</v>
      </c>
      <c r="M87" s="40">
        <v>0</v>
      </c>
      <c r="N87" s="21">
        <f t="shared" ref="N87:N94" si="31">M87*E87</f>
        <v>0</v>
      </c>
      <c r="O87" s="24">
        <v>0</v>
      </c>
      <c r="P87" s="21"/>
      <c r="Q87" s="20">
        <f t="shared" ref="Q87:Q94" si="32">D87-G87-I87-K87-M87-O87</f>
        <v>3000</v>
      </c>
      <c r="R87" s="21">
        <f t="shared" ref="R87:R94" si="33">Q87*E87</f>
        <v>7500</v>
      </c>
    </row>
    <row r="88" spans="1:18" s="41" customFormat="1" ht="30" customHeight="1">
      <c r="A88" s="16">
        <v>38</v>
      </c>
      <c r="B88" s="17" t="s">
        <v>110</v>
      </c>
      <c r="C88" s="18" t="s">
        <v>10</v>
      </c>
      <c r="D88" s="38">
        <v>2000</v>
      </c>
      <c r="E88" s="19">
        <v>6</v>
      </c>
      <c r="F88" s="19">
        <f t="shared" si="27"/>
        <v>12000</v>
      </c>
      <c r="G88" s="39">
        <v>0</v>
      </c>
      <c r="H88" s="20">
        <f t="shared" si="28"/>
        <v>0</v>
      </c>
      <c r="I88" s="39">
        <v>0</v>
      </c>
      <c r="J88" s="20">
        <f t="shared" si="29"/>
        <v>0</v>
      </c>
      <c r="K88" s="40">
        <v>0</v>
      </c>
      <c r="L88" s="21">
        <f t="shared" si="30"/>
        <v>0</v>
      </c>
      <c r="M88" s="40">
        <v>0</v>
      </c>
      <c r="N88" s="21">
        <f t="shared" si="31"/>
        <v>0</v>
      </c>
      <c r="O88" s="24">
        <v>0</v>
      </c>
      <c r="P88" s="21"/>
      <c r="Q88" s="20">
        <f t="shared" si="32"/>
        <v>2000</v>
      </c>
      <c r="R88" s="21">
        <f t="shared" si="33"/>
        <v>12000</v>
      </c>
    </row>
    <row r="89" spans="1:18" s="41" customFormat="1" ht="30" customHeight="1">
      <c r="A89" s="16">
        <v>39</v>
      </c>
      <c r="B89" s="17" t="s">
        <v>111</v>
      </c>
      <c r="C89" s="18" t="s">
        <v>10</v>
      </c>
      <c r="D89" s="38">
        <v>98000</v>
      </c>
      <c r="E89" s="19">
        <v>0.25</v>
      </c>
      <c r="F89" s="19">
        <f t="shared" si="27"/>
        <v>24500</v>
      </c>
      <c r="G89" s="39">
        <v>0</v>
      </c>
      <c r="H89" s="20">
        <f t="shared" si="28"/>
        <v>0</v>
      </c>
      <c r="I89" s="39">
        <v>0</v>
      </c>
      <c r="J89" s="20">
        <f t="shared" si="29"/>
        <v>0</v>
      </c>
      <c r="K89" s="40">
        <v>0</v>
      </c>
      <c r="L89" s="21">
        <f t="shared" si="30"/>
        <v>0</v>
      </c>
      <c r="M89" s="40">
        <v>0</v>
      </c>
      <c r="N89" s="21">
        <f t="shared" si="31"/>
        <v>0</v>
      </c>
      <c r="O89" s="24">
        <v>0</v>
      </c>
      <c r="P89" s="21"/>
      <c r="Q89" s="20">
        <f t="shared" si="32"/>
        <v>98000</v>
      </c>
      <c r="R89" s="21">
        <f t="shared" si="33"/>
        <v>24500</v>
      </c>
    </row>
    <row r="90" spans="1:18" s="41" customFormat="1" ht="30" customHeight="1">
      <c r="A90" s="16">
        <v>40</v>
      </c>
      <c r="B90" s="17" t="s">
        <v>112</v>
      </c>
      <c r="C90" s="18" t="s">
        <v>10</v>
      </c>
      <c r="D90" s="38">
        <v>88000</v>
      </c>
      <c r="E90" s="19">
        <v>0.2</v>
      </c>
      <c r="F90" s="19">
        <f t="shared" si="27"/>
        <v>17600</v>
      </c>
      <c r="G90" s="39">
        <v>0</v>
      </c>
      <c r="H90" s="20">
        <f t="shared" si="28"/>
        <v>0</v>
      </c>
      <c r="I90" s="39">
        <v>0</v>
      </c>
      <c r="J90" s="20">
        <f t="shared" si="29"/>
        <v>0</v>
      </c>
      <c r="K90" s="40">
        <v>0</v>
      </c>
      <c r="L90" s="21">
        <f t="shared" si="30"/>
        <v>0</v>
      </c>
      <c r="M90" s="40">
        <v>0</v>
      </c>
      <c r="N90" s="21">
        <f t="shared" si="31"/>
        <v>0</v>
      </c>
      <c r="O90" s="24">
        <v>0</v>
      </c>
      <c r="P90" s="21"/>
      <c r="Q90" s="20">
        <f t="shared" si="32"/>
        <v>88000</v>
      </c>
      <c r="R90" s="21">
        <f t="shared" si="33"/>
        <v>17600</v>
      </c>
    </row>
    <row r="91" spans="1:18" s="41" customFormat="1" ht="30" customHeight="1">
      <c r="A91" s="16">
        <v>41</v>
      </c>
      <c r="B91" s="17" t="s">
        <v>113</v>
      </c>
      <c r="C91" s="18" t="s">
        <v>9</v>
      </c>
      <c r="D91" s="38">
        <v>100000</v>
      </c>
      <c r="E91" s="19">
        <v>0.13</v>
      </c>
      <c r="F91" s="19">
        <f t="shared" ref="F91:F93" si="34">E91*D91</f>
        <v>13000</v>
      </c>
      <c r="G91" s="39">
        <v>0</v>
      </c>
      <c r="H91" s="20">
        <f t="shared" ref="H91:H93" si="35">G91*E91</f>
        <v>0</v>
      </c>
      <c r="I91" s="39">
        <v>0</v>
      </c>
      <c r="J91" s="20">
        <f t="shared" ref="J91:J93" si="36">I91*E91</f>
        <v>0</v>
      </c>
      <c r="K91" s="40">
        <v>1550</v>
      </c>
      <c r="L91" s="21">
        <f t="shared" ref="L91:L93" si="37">K91*E91</f>
        <v>201.5</v>
      </c>
      <c r="M91" s="40">
        <v>0</v>
      </c>
      <c r="N91" s="21">
        <f t="shared" ref="N91:N93" si="38">M91*E91</f>
        <v>0</v>
      </c>
      <c r="O91" s="24">
        <v>0</v>
      </c>
      <c r="P91" s="21"/>
      <c r="Q91" s="20">
        <f t="shared" ref="Q91:Q93" si="39">D91-G91-I91-K91-M91-O91</f>
        <v>98450</v>
      </c>
      <c r="R91" s="21">
        <f t="shared" ref="R91:R93" si="40">Q91*E91</f>
        <v>12798.5</v>
      </c>
    </row>
    <row r="92" spans="1:18" s="41" customFormat="1" ht="30" customHeight="1">
      <c r="A92" s="16">
        <v>42</v>
      </c>
      <c r="B92" s="17" t="s">
        <v>114</v>
      </c>
      <c r="C92" s="18" t="s">
        <v>9</v>
      </c>
      <c r="D92" s="38">
        <v>100000</v>
      </c>
      <c r="E92" s="19">
        <v>0.15</v>
      </c>
      <c r="F92" s="19">
        <f t="shared" si="34"/>
        <v>15000</v>
      </c>
      <c r="G92" s="39">
        <v>0</v>
      </c>
      <c r="H92" s="20">
        <f t="shared" si="35"/>
        <v>0</v>
      </c>
      <c r="I92" s="39">
        <v>0</v>
      </c>
      <c r="J92" s="20">
        <f t="shared" si="36"/>
        <v>0</v>
      </c>
      <c r="K92" s="40">
        <v>0</v>
      </c>
      <c r="L92" s="21">
        <f t="shared" si="37"/>
        <v>0</v>
      </c>
      <c r="M92" s="40">
        <v>0</v>
      </c>
      <c r="N92" s="21">
        <f t="shared" si="38"/>
        <v>0</v>
      </c>
      <c r="O92" s="24">
        <v>0</v>
      </c>
      <c r="P92" s="21"/>
      <c r="Q92" s="20">
        <f t="shared" si="39"/>
        <v>100000</v>
      </c>
      <c r="R92" s="21">
        <f t="shared" si="40"/>
        <v>15000</v>
      </c>
    </row>
    <row r="93" spans="1:18" s="41" customFormat="1" ht="30" customHeight="1">
      <c r="A93" s="16">
        <v>43</v>
      </c>
      <c r="B93" s="17" t="s">
        <v>115</v>
      </c>
      <c r="C93" s="18" t="s">
        <v>15</v>
      </c>
      <c r="D93" s="38">
        <v>100000</v>
      </c>
      <c r="E93" s="19">
        <v>0.01</v>
      </c>
      <c r="F93" s="19">
        <f t="shared" si="34"/>
        <v>1000</v>
      </c>
      <c r="G93" s="39">
        <v>0</v>
      </c>
      <c r="H93" s="20">
        <f t="shared" si="35"/>
        <v>0</v>
      </c>
      <c r="I93" s="39">
        <v>0</v>
      </c>
      <c r="J93" s="20">
        <f t="shared" si="36"/>
        <v>0</v>
      </c>
      <c r="K93" s="40">
        <v>0</v>
      </c>
      <c r="L93" s="21">
        <f t="shared" si="37"/>
        <v>0</v>
      </c>
      <c r="M93" s="40">
        <v>0</v>
      </c>
      <c r="N93" s="21">
        <f t="shared" si="38"/>
        <v>0</v>
      </c>
      <c r="O93" s="24">
        <v>0</v>
      </c>
      <c r="P93" s="21"/>
      <c r="Q93" s="20">
        <f t="shared" si="39"/>
        <v>100000</v>
      </c>
      <c r="R93" s="21">
        <f t="shared" si="40"/>
        <v>1000</v>
      </c>
    </row>
    <row r="94" spans="1:18" s="41" customFormat="1" ht="30" customHeight="1">
      <c r="A94" s="16">
        <v>44</v>
      </c>
      <c r="B94" s="17" t="s">
        <v>116</v>
      </c>
      <c r="C94" s="18" t="s">
        <v>15</v>
      </c>
      <c r="D94" s="38">
        <v>100000</v>
      </c>
      <c r="E94" s="19">
        <v>0.03</v>
      </c>
      <c r="F94" s="19">
        <f t="shared" si="27"/>
        <v>3000</v>
      </c>
      <c r="G94" s="39">
        <v>0</v>
      </c>
      <c r="H94" s="20">
        <f t="shared" si="28"/>
        <v>0</v>
      </c>
      <c r="I94" s="39">
        <v>5539</v>
      </c>
      <c r="J94" s="20">
        <f t="shared" si="29"/>
        <v>166.17</v>
      </c>
      <c r="K94" s="40">
        <v>0</v>
      </c>
      <c r="L94" s="21">
        <f t="shared" si="30"/>
        <v>0</v>
      </c>
      <c r="M94" s="40">
        <v>0</v>
      </c>
      <c r="N94" s="21">
        <f t="shared" si="31"/>
        <v>0</v>
      </c>
      <c r="O94" s="24">
        <v>0</v>
      </c>
      <c r="P94" s="21"/>
      <c r="Q94" s="20">
        <f t="shared" si="32"/>
        <v>94461</v>
      </c>
      <c r="R94" s="21">
        <f t="shared" si="33"/>
        <v>2833.83</v>
      </c>
    </row>
    <row r="95" spans="1:18" s="41" customFormat="1" ht="30" customHeight="1">
      <c r="A95" s="54"/>
      <c r="B95" s="44" t="s">
        <v>2</v>
      </c>
      <c r="C95" s="44"/>
      <c r="D95" s="55"/>
      <c r="E95" s="56"/>
      <c r="F95" s="57">
        <f>SUM(F51:F94)</f>
        <v>12861500</v>
      </c>
      <c r="G95" s="58"/>
      <c r="H95" s="59">
        <f>SUM(H51:H94)</f>
        <v>154082.5</v>
      </c>
      <c r="I95" s="59"/>
      <c r="J95" s="59">
        <f>SUM(J51:J94)</f>
        <v>710253.0700000003</v>
      </c>
      <c r="K95" s="60"/>
      <c r="L95" s="61">
        <f>SUM(L51:L94)</f>
        <v>498394.4</v>
      </c>
      <c r="M95" s="62"/>
      <c r="N95" s="61">
        <f>SUM(N51:N94)</f>
        <v>1033055.6</v>
      </c>
      <c r="O95" s="60"/>
      <c r="P95" s="61">
        <f>SUM(P51:P94)</f>
        <v>221702.5</v>
      </c>
      <c r="Q95" s="60"/>
      <c r="R95" s="61">
        <f>SUM(R51:R94)</f>
        <v>10198285.929999998</v>
      </c>
    </row>
    <row r="96" spans="1:18" s="41" customFormat="1" ht="30" customHeight="1">
      <c r="A96" s="45"/>
      <c r="B96" s="46" t="s">
        <v>3</v>
      </c>
      <c r="C96" s="47"/>
      <c r="D96" s="48"/>
      <c r="E96" s="49"/>
      <c r="F96" s="50">
        <f>F95+F49</f>
        <v>13837494</v>
      </c>
      <c r="G96" s="51"/>
      <c r="H96" s="50">
        <f>H95+H49</f>
        <v>199082.5</v>
      </c>
      <c r="I96" s="51"/>
      <c r="J96" s="50">
        <f>J95+J49</f>
        <v>710253.0700000003</v>
      </c>
      <c r="K96" s="52"/>
      <c r="L96" s="50">
        <f>L95+L49</f>
        <v>498394.4</v>
      </c>
      <c r="M96" s="53"/>
      <c r="N96" s="50">
        <f>N95+N49</f>
        <v>1033055.6</v>
      </c>
      <c r="O96" s="52"/>
      <c r="P96" s="50">
        <f>P95+P49</f>
        <v>221702.5</v>
      </c>
      <c r="Q96" s="52"/>
      <c r="R96" s="50">
        <f>R95+R49</f>
        <v>11129279.929999998</v>
      </c>
    </row>
    <row r="98" spans="13:19" ht="38.25">
      <c r="M98" s="71" t="s">
        <v>70</v>
      </c>
      <c r="N98" s="71"/>
      <c r="O98" s="71"/>
      <c r="P98" s="71"/>
      <c r="Q98" s="71"/>
      <c r="R98" s="71"/>
      <c r="S98" s="9"/>
    </row>
    <row r="99" spans="13:19" ht="33">
      <c r="M99" s="69" t="s">
        <v>56</v>
      </c>
      <c r="N99" s="69"/>
      <c r="O99" s="69"/>
      <c r="P99" s="69"/>
      <c r="Q99" s="69"/>
      <c r="R99" s="69"/>
      <c r="S99" s="10"/>
    </row>
    <row r="104" spans="13:19">
      <c r="O104" s="43" t="s">
        <v>66</v>
      </c>
      <c r="P104" s="43"/>
    </row>
  </sheetData>
  <mergeCells count="19">
    <mergeCell ref="N1:R1"/>
    <mergeCell ref="N2:R2"/>
    <mergeCell ref="G4:M4"/>
    <mergeCell ref="G5:M5"/>
    <mergeCell ref="G6:M6"/>
    <mergeCell ref="D10:F10"/>
    <mergeCell ref="A10:A11"/>
    <mergeCell ref="B10:B11"/>
    <mergeCell ref="M99:R99"/>
    <mergeCell ref="G7:M7"/>
    <mergeCell ref="G8:M8"/>
    <mergeCell ref="M98:R98"/>
    <mergeCell ref="I10:J10"/>
    <mergeCell ref="K10:L10"/>
    <mergeCell ref="M10:N10"/>
    <mergeCell ref="Q10:R10"/>
    <mergeCell ref="G10:H10"/>
    <mergeCell ref="O10:P10"/>
    <mergeCell ref="A49:C49"/>
  </mergeCells>
  <pageMargins left="0.2" right="0.2" top="0.25" bottom="0.25" header="0.3" footer="0.3"/>
  <pageSetup scale="3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2026-10-09T02:15:19Z</dcterms:modified>
</cp:coreProperties>
</file>